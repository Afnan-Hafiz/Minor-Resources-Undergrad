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-201\ACT201_Summer2020\Accounting for Merchandising Operation\Day1\"/>
    </mc:Choice>
  </mc:AlternateContent>
  <xr:revisionPtr revIDLastSave="0" documentId="13_ncr:1_{C4E27B4F-3707-4E74-ADC5-E4149B24DE96}" xr6:coauthVersionLast="45" xr6:coauthVersionMax="45" xr10:uidLastSave="{00000000-0000-0000-0000-000000000000}"/>
  <bookViews>
    <workbookView xWindow="7896" yWindow="408" windowWidth="8676" windowHeight="11988" xr2:uid="{69AD58CC-EDA9-4758-8DB3-247CCEAEFA8B}"/>
  </bookViews>
  <sheets>
    <sheet name="Perpetual Inventory Syste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1" i="1" l="1"/>
  <c r="H22" i="1"/>
  <c r="I20" i="1"/>
  <c r="I19" i="1"/>
</calcChain>
</file>

<file path=xl/sharedStrings.xml><?xml version="1.0" encoding="utf-8"?>
<sst xmlns="http://schemas.openxmlformats.org/spreadsheetml/2006/main" count="82" uniqueCount="51">
  <si>
    <t xml:space="preserve">Date </t>
  </si>
  <si>
    <t>Item</t>
  </si>
  <si>
    <t>Ref.</t>
  </si>
  <si>
    <t>Debit</t>
  </si>
  <si>
    <t>Credit</t>
  </si>
  <si>
    <t>A</t>
  </si>
  <si>
    <t>Assets</t>
  </si>
  <si>
    <t>Liabilities</t>
  </si>
  <si>
    <t>L</t>
  </si>
  <si>
    <t>Capital</t>
  </si>
  <si>
    <t>C</t>
  </si>
  <si>
    <t>Income</t>
  </si>
  <si>
    <t>I</t>
  </si>
  <si>
    <t>Expense</t>
  </si>
  <si>
    <t>E</t>
  </si>
  <si>
    <t>+</t>
  </si>
  <si>
    <t>Dr</t>
  </si>
  <si>
    <t>Cr</t>
  </si>
  <si>
    <t>-</t>
  </si>
  <si>
    <t>During the month of July the following merchandising transactions occurred.</t>
  </si>
  <si>
    <t>Sold suitcases on account to Satchel World for $2,000.The cost of suitcases sold is $1,200</t>
  </si>
  <si>
    <t>Paid Trunk Manufacturers in full.</t>
  </si>
  <si>
    <t>Received payment in full from Satchel World</t>
  </si>
  <si>
    <t>Received payment in full from The Going Concern</t>
  </si>
  <si>
    <t>Paid Kingman Manufacturers in full</t>
  </si>
  <si>
    <t>Granted Fly-By-Night $200 credit for suitcases returned costing $120</t>
  </si>
  <si>
    <t>Sansomite Co. distributes suitcases and extends credit terms of 1/10, n/30 to all of its customers.</t>
  </si>
  <si>
    <t>The appropriate party also made a cash payment of $100 for freight on this date.</t>
  </si>
  <si>
    <t>Instructions</t>
  </si>
  <si>
    <t>(a)</t>
  </si>
  <si>
    <t>General Journal</t>
  </si>
  <si>
    <t>Journalize the April transactions using a perpetual inventory system</t>
  </si>
  <si>
    <t>Sold suitcases on account to The Going Concern for $1,500. The cost of the suitcases sold was $900.</t>
  </si>
  <si>
    <t>Purchased suitcases on account for $1,700 from Kingman Manufacturers, FOB shipping point,</t>
  </si>
  <si>
    <t xml:space="preserve"> terms 1/10, n/30. The appropriate party also made a cash payment of $100 for freight on this date.</t>
  </si>
  <si>
    <t>Sold suitcases on account to Fly-By-Night for $2,250. The cost of suitcases sold was $1,350.</t>
  </si>
  <si>
    <t>Received $300 credit (including freight) for suitcases returned to Kingman Manufacturers.</t>
  </si>
  <si>
    <t xml:space="preserve">Purchased suitcases on account for $1,800 from Trunk Manufacturers, FOB destination, terms 2/10, n/30. </t>
  </si>
  <si>
    <t xml:space="preserve">At the end of June, Sansomite’s inventory consisted of suitcases costing $1,200. </t>
  </si>
  <si>
    <t>Merchandise Inventory</t>
  </si>
  <si>
    <t>Accounts Payable</t>
  </si>
  <si>
    <t>Accounts Receivable</t>
  </si>
  <si>
    <t>Sales Revenue</t>
  </si>
  <si>
    <t>Cost of Goods Sold</t>
  </si>
  <si>
    <t>Merchandise Inventory ($1800*0.02=$36)</t>
  </si>
  <si>
    <t>Cash</t>
  </si>
  <si>
    <t>Sales Discount ($2000*0.01=$20)</t>
  </si>
  <si>
    <t>Sales Discount (1500*0.01 = $15)</t>
  </si>
  <si>
    <t>Accounts Payable ($1700-$300 = $1400)</t>
  </si>
  <si>
    <t>Sales Return and Allowances</t>
  </si>
  <si>
    <t>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</si>
</sst>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Liberation Sans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b/>
      <sz val="10"/>
      <color theme="1"/>
      <name val="Liberation Sans"/>
      <family val="2"/>
    </font>
    <font>
      <b/>
      <sz val="10"/>
      <color theme="0"/>
      <name val="Liberation Sans"/>
      <family val="2"/>
    </font>
    <font>
      <b/>
      <sz val="10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rgb="FFE0D2A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3" borderId="2" xfId="0" applyFill="1" applyBorder="1"/>
    <xf numFmtId="0" fontId="2" fillId="3" borderId="3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0" xfId="0" applyFill="1" applyBorder="1"/>
    <xf numFmtId="0" fontId="6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/>
    <xf numFmtId="0" fontId="0" fillId="2" borderId="0" xfId="0" applyFill="1" applyBorder="1"/>
    <xf numFmtId="0" fontId="3" fillId="2" borderId="0" xfId="0" applyFont="1" applyFill="1" applyBorder="1"/>
    <xf numFmtId="0" fontId="3" fillId="2" borderId="0" xfId="0" applyFont="1" applyFill="1"/>
    <xf numFmtId="0" fontId="2" fillId="3" borderId="0" xfId="0" applyFont="1" applyFill="1" applyBorder="1"/>
    <xf numFmtId="0" fontId="8" fillId="3" borderId="0" xfId="0" applyFont="1" applyFill="1" applyBorder="1"/>
    <xf numFmtId="0" fontId="2" fillId="3" borderId="5" xfId="0" applyFont="1" applyFill="1" applyBorder="1"/>
    <xf numFmtId="0" fontId="8" fillId="3" borderId="6" xfId="0" applyFont="1" applyFill="1" applyBorder="1"/>
    <xf numFmtId="17" fontId="2" fillId="3" borderId="5" xfId="0" applyNumberFormat="1" applyFont="1" applyFill="1" applyBorder="1"/>
    <xf numFmtId="0" fontId="6" fillId="3" borderId="5" xfId="0" applyFont="1" applyFill="1" applyBorder="1"/>
    <xf numFmtId="0" fontId="1" fillId="3" borderId="6" xfId="0" applyFont="1" applyFill="1" applyBorder="1"/>
    <xf numFmtId="0" fontId="2" fillId="3" borderId="6" xfId="0" applyFont="1" applyFill="1" applyBorder="1"/>
    <xf numFmtId="0" fontId="0" fillId="3" borderId="9" xfId="0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0" xfId="0" applyFont="1" applyFill="1" applyBorder="1"/>
    <xf numFmtId="0" fontId="4" fillId="3" borderId="9" xfId="0" applyFont="1" applyFill="1" applyBorder="1"/>
    <xf numFmtId="0" fontId="4" fillId="2" borderId="0" xfId="0" applyFont="1" applyFill="1" applyBorder="1"/>
    <xf numFmtId="1" fontId="4" fillId="2" borderId="0" xfId="0" applyNumberFormat="1" applyFont="1" applyFill="1" applyBorder="1"/>
    <xf numFmtId="0" fontId="4" fillId="3" borderId="5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9" fillId="3" borderId="5" xfId="0" applyFont="1" applyFill="1" applyBorder="1"/>
    <xf numFmtId="0" fontId="6" fillId="3" borderId="5" xfId="0" applyNumberFormat="1" applyFont="1" applyFill="1" applyBorder="1" applyAlignment="1">
      <alignment horizontal="right"/>
    </xf>
    <xf numFmtId="17" fontId="6" fillId="3" borderId="5" xfId="0" applyNumberFormat="1" applyFont="1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17" fontId="0" fillId="3" borderId="18" xfId="0" applyNumberFormat="1" applyFill="1" applyBorder="1"/>
    <xf numFmtId="0" fontId="0" fillId="3" borderId="19" xfId="0" applyFill="1" applyBorder="1"/>
    <xf numFmtId="0" fontId="0" fillId="3" borderId="18" xfId="0" applyFill="1" applyBorder="1"/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0" fontId="0" fillId="3" borderId="23" xfId="0" applyFill="1" applyBorder="1"/>
    <xf numFmtId="0" fontId="2" fillId="3" borderId="0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0D2A0"/>
      <color rgb="FF360860"/>
      <color rgb="FFCC99FF"/>
      <color rgb="FF57077B"/>
      <color rgb="FF670892"/>
      <color rgb="FF891BAB"/>
      <color rgb="FFFF99FF"/>
      <color rgb="FF48C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D7AA-D1D5-4D1A-AFFE-10A7E2A327D4}">
  <dimension ref="A1:BK932"/>
  <sheetViews>
    <sheetView tabSelected="1" topLeftCell="F40" zoomScaleNormal="100" workbookViewId="0">
      <selection activeCell="I61" sqref="I61"/>
    </sheetView>
  </sheetViews>
  <sheetFormatPr defaultRowHeight="14.4"/>
  <cols>
    <col min="1" max="1" width="4" style="1" customWidth="1"/>
    <col min="2" max="2" width="3.44140625" style="1" customWidth="1"/>
    <col min="3" max="3" width="3.6640625" customWidth="1"/>
    <col min="5" max="5" width="5.6640625" customWidth="1"/>
    <col min="6" max="6" width="40.44140625" customWidth="1"/>
    <col min="7" max="7" width="6" customWidth="1"/>
    <col min="10" max="10" width="3.6640625" customWidth="1"/>
    <col min="11" max="11" width="3.44140625" customWidth="1"/>
    <col min="12" max="12" width="8.109375" customWidth="1"/>
    <col min="13" max="13" width="12.6640625" customWidth="1"/>
    <col min="14" max="15" width="4" customWidth="1"/>
    <col min="21" max="21" width="30" customWidth="1"/>
    <col min="22" max="63" width="8.88671875" style="1"/>
  </cols>
  <sheetData>
    <row r="1" spans="3:21" s="1" customFormat="1"/>
    <row r="2" spans="3:21" s="1" customFormat="1"/>
    <row r="3" spans="3:21" s="1" customFormat="1"/>
    <row r="4" spans="3:21" s="1" customFormat="1" ht="15" thickBot="1">
      <c r="J4" s="15"/>
    </row>
    <row r="5" spans="3:21">
      <c r="C5" s="2"/>
      <c r="D5" s="3"/>
      <c r="E5" s="3"/>
      <c r="F5" s="4"/>
      <c r="G5" s="4"/>
      <c r="H5" s="4"/>
      <c r="I5" s="4"/>
      <c r="J5" s="5"/>
      <c r="K5" s="15"/>
      <c r="L5" s="2"/>
      <c r="M5" s="4"/>
      <c r="N5" s="4"/>
      <c r="O5" s="4"/>
      <c r="P5" s="4"/>
      <c r="Q5" s="4"/>
      <c r="R5" s="4"/>
      <c r="S5" s="4"/>
      <c r="T5" s="4"/>
      <c r="U5" s="5"/>
    </row>
    <row r="6" spans="3:21">
      <c r="C6" s="6"/>
      <c r="D6" s="11"/>
      <c r="E6" s="11"/>
      <c r="F6" s="58" t="s">
        <v>30</v>
      </c>
      <c r="G6" s="58"/>
      <c r="H6" s="58"/>
      <c r="I6" s="11"/>
      <c r="J6" s="8"/>
      <c r="K6" s="16"/>
      <c r="L6" s="20" t="s">
        <v>26</v>
      </c>
      <c r="M6" s="12"/>
      <c r="N6" s="13"/>
      <c r="O6" s="13"/>
      <c r="P6" s="13"/>
      <c r="Q6" s="13"/>
      <c r="R6" s="13"/>
      <c r="S6" s="13"/>
      <c r="T6" s="14"/>
      <c r="U6" s="24"/>
    </row>
    <row r="7" spans="3:21" ht="15" thickBot="1">
      <c r="C7" s="6"/>
      <c r="D7" s="11"/>
      <c r="E7" s="11"/>
      <c r="F7" s="11"/>
      <c r="G7" s="11"/>
      <c r="H7" s="11"/>
      <c r="I7" s="11"/>
      <c r="J7" s="8"/>
      <c r="K7" s="17"/>
      <c r="L7" s="20" t="s">
        <v>38</v>
      </c>
      <c r="M7" s="12"/>
      <c r="N7" s="13"/>
      <c r="O7" s="13"/>
      <c r="P7" s="13"/>
      <c r="Q7" s="13"/>
      <c r="R7" s="13"/>
      <c r="S7" s="13"/>
      <c r="T7" s="19"/>
      <c r="U7" s="21"/>
    </row>
    <row r="8" spans="3:21">
      <c r="C8" s="6"/>
      <c r="D8" s="47" t="s">
        <v>0</v>
      </c>
      <c r="E8" s="59" t="s">
        <v>1</v>
      </c>
      <c r="F8" s="59"/>
      <c r="G8" s="48" t="s">
        <v>2</v>
      </c>
      <c r="H8" s="49" t="s">
        <v>3</v>
      </c>
      <c r="I8" s="50" t="s">
        <v>4</v>
      </c>
      <c r="J8" s="8"/>
      <c r="K8" s="17"/>
      <c r="L8" s="20" t="s">
        <v>19</v>
      </c>
      <c r="M8" s="12"/>
      <c r="N8" s="13"/>
      <c r="O8" s="13"/>
      <c r="P8" s="13"/>
      <c r="Q8" s="13"/>
      <c r="R8" s="13"/>
      <c r="S8" s="13"/>
      <c r="T8" s="19"/>
      <c r="U8" s="21"/>
    </row>
    <row r="9" spans="3:21">
      <c r="C9" s="6"/>
      <c r="D9" s="51">
        <v>37073</v>
      </c>
      <c r="E9" s="44" t="s">
        <v>39</v>
      </c>
      <c r="F9" s="45"/>
      <c r="G9" s="45"/>
      <c r="H9" s="7">
        <v>1800</v>
      </c>
      <c r="I9" s="52"/>
      <c r="J9" s="8"/>
      <c r="K9" s="17"/>
      <c r="L9" s="22">
        <v>37073</v>
      </c>
      <c r="M9" s="18" t="s">
        <v>37</v>
      </c>
      <c r="N9" s="13"/>
      <c r="O9" s="13"/>
      <c r="P9" s="13"/>
      <c r="Q9" s="13"/>
      <c r="R9" s="13"/>
      <c r="S9" s="13"/>
      <c r="T9" s="19"/>
      <c r="U9" s="21"/>
    </row>
    <row r="10" spans="3:21">
      <c r="C10" s="6"/>
      <c r="D10" s="53"/>
      <c r="E10" s="44"/>
      <c r="F10" s="45" t="s">
        <v>40</v>
      </c>
      <c r="G10" s="45"/>
      <c r="H10" s="7"/>
      <c r="I10" s="52">
        <v>1800</v>
      </c>
      <c r="J10" s="8"/>
      <c r="K10" s="17"/>
      <c r="L10" s="23"/>
      <c r="M10" s="18" t="s">
        <v>27</v>
      </c>
      <c r="N10" s="13"/>
      <c r="O10" s="13"/>
      <c r="P10" s="13"/>
      <c r="Q10" s="13"/>
      <c r="R10" s="13"/>
      <c r="S10" s="13"/>
      <c r="T10" s="19"/>
      <c r="U10" s="21"/>
    </row>
    <row r="11" spans="3:21">
      <c r="C11" s="6"/>
      <c r="D11" s="53"/>
      <c r="E11" s="44"/>
      <c r="F11" s="45"/>
      <c r="G11" s="45"/>
      <c r="H11" s="7"/>
      <c r="I11" s="52"/>
      <c r="J11" s="8"/>
      <c r="K11" s="17"/>
      <c r="L11" s="43">
        <v>37803</v>
      </c>
      <c r="M11" s="18" t="s">
        <v>20</v>
      </c>
      <c r="N11" s="13"/>
      <c r="O11" s="13"/>
      <c r="P11" s="13"/>
      <c r="Q11" s="13"/>
      <c r="R11" s="13"/>
      <c r="S11" s="13"/>
      <c r="T11" s="14"/>
      <c r="U11" s="24"/>
    </row>
    <row r="12" spans="3:21">
      <c r="C12" s="6"/>
      <c r="D12" s="51">
        <v>37803</v>
      </c>
      <c r="E12" s="44" t="s">
        <v>41</v>
      </c>
      <c r="F12" s="45"/>
      <c r="G12" s="45"/>
      <c r="H12" s="7">
        <v>2000</v>
      </c>
      <c r="I12" s="52"/>
      <c r="J12" s="8"/>
      <c r="K12" s="17"/>
      <c r="L12" s="43">
        <v>39995</v>
      </c>
      <c r="M12" s="18" t="s">
        <v>21</v>
      </c>
      <c r="N12" s="13"/>
      <c r="O12" s="13"/>
      <c r="P12" s="13"/>
      <c r="Q12" s="13"/>
      <c r="R12" s="13"/>
      <c r="S12" s="13"/>
      <c r="T12" s="14"/>
      <c r="U12" s="24"/>
    </row>
    <row r="13" spans="3:21">
      <c r="C13" s="6"/>
      <c r="D13" s="53"/>
      <c r="E13" s="44"/>
      <c r="F13" s="45" t="s">
        <v>42</v>
      </c>
      <c r="G13" s="45"/>
      <c r="H13" s="7"/>
      <c r="I13" s="52">
        <v>2000</v>
      </c>
      <c r="J13" s="8"/>
      <c r="K13" s="17"/>
      <c r="L13" s="43">
        <v>41091</v>
      </c>
      <c r="M13" s="18" t="s">
        <v>22</v>
      </c>
      <c r="N13" s="13"/>
      <c r="O13" s="13"/>
      <c r="P13" s="13"/>
      <c r="Q13" s="13"/>
      <c r="R13" s="13"/>
      <c r="S13" s="13"/>
      <c r="T13" s="14"/>
      <c r="U13" s="24"/>
    </row>
    <row r="14" spans="3:21">
      <c r="C14" s="6"/>
      <c r="D14" s="53"/>
      <c r="E14" s="44"/>
      <c r="F14" s="45"/>
      <c r="G14" s="45"/>
      <c r="H14" s="7"/>
      <c r="I14" s="52"/>
      <c r="J14" s="8"/>
      <c r="K14" s="17"/>
      <c r="L14" s="43">
        <v>42917</v>
      </c>
      <c r="M14" s="18" t="s">
        <v>32</v>
      </c>
      <c r="N14" s="13"/>
      <c r="O14" s="13"/>
      <c r="P14" s="13"/>
      <c r="Q14" s="13"/>
      <c r="R14" s="13"/>
      <c r="S14" s="13"/>
      <c r="T14" s="14"/>
      <c r="U14" s="24"/>
    </row>
    <row r="15" spans="3:21">
      <c r="C15" s="6"/>
      <c r="D15" s="51">
        <v>37803</v>
      </c>
      <c r="E15" s="44" t="s">
        <v>43</v>
      </c>
      <c r="F15" s="45"/>
      <c r="G15" s="45"/>
      <c r="H15" s="7">
        <v>1200</v>
      </c>
      <c r="I15" s="52"/>
      <c r="J15" s="8"/>
      <c r="K15" s="17"/>
      <c r="L15" s="43">
        <v>43282</v>
      </c>
      <c r="M15" s="18" t="s">
        <v>33</v>
      </c>
      <c r="N15" s="13"/>
      <c r="O15" s="13"/>
      <c r="P15" s="13"/>
      <c r="Q15" s="13"/>
      <c r="R15" s="13"/>
      <c r="S15" s="13"/>
      <c r="T15" s="14"/>
      <c r="U15" s="24"/>
    </row>
    <row r="16" spans="3:21">
      <c r="C16" s="6"/>
      <c r="D16" s="53"/>
      <c r="E16" s="44"/>
      <c r="F16" s="45" t="s">
        <v>39</v>
      </c>
      <c r="G16" s="45"/>
      <c r="H16" s="7"/>
      <c r="I16" s="52">
        <v>1200</v>
      </c>
      <c r="J16" s="8"/>
      <c r="K16" s="17"/>
      <c r="L16" s="23"/>
      <c r="M16" s="18" t="s">
        <v>34</v>
      </c>
      <c r="N16" s="13"/>
      <c r="O16" s="13"/>
      <c r="P16" s="13"/>
      <c r="Q16" s="13"/>
      <c r="R16" s="13"/>
      <c r="S16" s="13"/>
      <c r="T16" s="14"/>
      <c r="U16" s="24"/>
    </row>
    <row r="17" spans="3:21">
      <c r="C17" s="6"/>
      <c r="D17" s="53"/>
      <c r="E17" s="44"/>
      <c r="F17" s="45"/>
      <c r="G17" s="45"/>
      <c r="H17" s="7"/>
      <c r="I17" s="52"/>
      <c r="J17" s="8"/>
      <c r="K17" s="17"/>
      <c r="L17" s="43">
        <v>44013</v>
      </c>
      <c r="M17" s="18" t="s">
        <v>36</v>
      </c>
      <c r="N17" s="13"/>
      <c r="O17" s="13"/>
      <c r="P17" s="13"/>
      <c r="Q17" s="13"/>
      <c r="R17" s="13"/>
      <c r="S17" s="13"/>
      <c r="T17" s="14"/>
      <c r="U17" s="24"/>
    </row>
    <row r="18" spans="3:21">
      <c r="C18" s="6"/>
      <c r="D18" s="51">
        <v>39995</v>
      </c>
      <c r="E18" s="44" t="s">
        <v>40</v>
      </c>
      <c r="F18" s="45"/>
      <c r="G18" s="45"/>
      <c r="H18" s="7">
        <v>1800</v>
      </c>
      <c r="I18" s="52"/>
      <c r="J18" s="8"/>
      <c r="K18" s="17"/>
      <c r="L18" s="43">
        <v>44378</v>
      </c>
      <c r="M18" s="18" t="s">
        <v>23</v>
      </c>
      <c r="N18" s="13"/>
      <c r="O18" s="13"/>
      <c r="P18" s="13"/>
      <c r="Q18" s="13"/>
      <c r="R18" s="13"/>
      <c r="S18" s="13"/>
      <c r="T18" s="14"/>
      <c r="U18" s="24"/>
    </row>
    <row r="19" spans="3:21">
      <c r="C19" s="6"/>
      <c r="D19" s="53"/>
      <c r="E19" s="44"/>
      <c r="F19" s="45" t="s">
        <v>44</v>
      </c>
      <c r="G19" s="45"/>
      <c r="H19" s="7"/>
      <c r="I19" s="52">
        <f>H18*0.02</f>
        <v>36</v>
      </c>
      <c r="J19" s="8"/>
      <c r="K19" s="17"/>
      <c r="L19" s="43">
        <v>44743</v>
      </c>
      <c r="M19" s="18" t="s">
        <v>35</v>
      </c>
      <c r="N19" s="13"/>
      <c r="O19" s="13"/>
      <c r="P19" s="13"/>
      <c r="Q19" s="13"/>
      <c r="R19" s="13"/>
      <c r="S19" s="13"/>
      <c r="T19" s="14"/>
      <c r="U19" s="24"/>
    </row>
    <row r="20" spans="3:21">
      <c r="C20" s="6"/>
      <c r="D20" s="53"/>
      <c r="E20" s="44"/>
      <c r="F20" s="45" t="s">
        <v>45</v>
      </c>
      <c r="G20" s="45"/>
      <c r="H20" s="7"/>
      <c r="I20" s="52">
        <f>H18-I19</f>
        <v>1764</v>
      </c>
      <c r="J20" s="8"/>
      <c r="K20" s="1"/>
      <c r="L20" s="22">
        <v>11140</v>
      </c>
      <c r="M20" s="18" t="s">
        <v>24</v>
      </c>
      <c r="N20" s="18"/>
      <c r="O20" s="18"/>
      <c r="P20" s="18"/>
      <c r="Q20" s="18"/>
      <c r="R20" s="18"/>
      <c r="S20" s="18"/>
      <c r="T20" s="18"/>
      <c r="U20" s="25"/>
    </row>
    <row r="21" spans="3:21">
      <c r="C21" s="6"/>
      <c r="D21" s="53"/>
      <c r="E21" s="44"/>
      <c r="F21" s="45"/>
      <c r="G21" s="45"/>
      <c r="H21" s="7"/>
      <c r="I21" s="52"/>
      <c r="J21" s="8"/>
      <c r="K21" s="1"/>
      <c r="L21" s="22">
        <v>11505</v>
      </c>
      <c r="M21" s="18" t="s">
        <v>25</v>
      </c>
      <c r="N21" s="18"/>
      <c r="O21" s="18"/>
      <c r="P21" s="18"/>
      <c r="Q21" s="18"/>
      <c r="R21" s="18"/>
      <c r="S21" s="18"/>
      <c r="T21" s="18"/>
      <c r="U21" s="25"/>
    </row>
    <row r="22" spans="3:21">
      <c r="C22" s="6"/>
      <c r="D22" s="51">
        <v>41091</v>
      </c>
      <c r="E22" s="44" t="s">
        <v>45</v>
      </c>
      <c r="F22" s="45"/>
      <c r="G22" s="45"/>
      <c r="H22" s="7">
        <f>I24-H23</f>
        <v>1980</v>
      </c>
      <c r="I22" s="52"/>
      <c r="J22" s="8"/>
      <c r="K22" s="1"/>
      <c r="L22" s="20"/>
      <c r="M22" s="18"/>
      <c r="N22" s="18"/>
      <c r="O22" s="18"/>
      <c r="P22" s="18"/>
      <c r="Q22" s="18"/>
      <c r="R22" s="18"/>
      <c r="S22" s="18"/>
      <c r="T22" s="18"/>
      <c r="U22" s="25"/>
    </row>
    <row r="23" spans="3:21">
      <c r="C23" s="6"/>
      <c r="D23" s="53"/>
      <c r="E23" s="44" t="s">
        <v>46</v>
      </c>
      <c r="F23" s="45"/>
      <c r="G23" s="45"/>
      <c r="H23" s="7">
        <v>20</v>
      </c>
      <c r="I23" s="52"/>
      <c r="J23" s="8"/>
      <c r="K23" s="1"/>
      <c r="L23" s="41" t="s">
        <v>28</v>
      </c>
      <c r="M23" s="18"/>
      <c r="N23" s="13"/>
      <c r="O23" s="13"/>
      <c r="P23" s="11"/>
      <c r="Q23" s="11"/>
      <c r="R23" s="11"/>
      <c r="S23" s="11"/>
      <c r="T23" s="11"/>
      <c r="U23" s="8"/>
    </row>
    <row r="24" spans="3:21">
      <c r="C24" s="6"/>
      <c r="D24" s="53"/>
      <c r="E24" s="44"/>
      <c r="F24" s="45" t="s">
        <v>41</v>
      </c>
      <c r="G24" s="45"/>
      <c r="H24" s="7"/>
      <c r="I24" s="52">
        <v>2000</v>
      </c>
      <c r="J24" s="8"/>
      <c r="K24" s="1"/>
      <c r="L24" s="42" t="s">
        <v>29</v>
      </c>
      <c r="M24" s="18" t="s">
        <v>31</v>
      </c>
      <c r="N24" s="13"/>
      <c r="O24" s="13"/>
      <c r="P24" s="11"/>
      <c r="Q24" s="11"/>
      <c r="R24" s="11"/>
      <c r="S24" s="11"/>
      <c r="T24" s="11"/>
      <c r="U24" s="8"/>
    </row>
    <row r="25" spans="3:21" ht="15" thickBot="1">
      <c r="C25" s="6"/>
      <c r="D25" s="53"/>
      <c r="E25" s="44"/>
      <c r="F25" s="45"/>
      <c r="G25" s="45"/>
      <c r="H25" s="7"/>
      <c r="I25" s="52"/>
      <c r="J25" s="8"/>
      <c r="K25" s="1"/>
      <c r="L25" s="9"/>
      <c r="M25" s="26"/>
      <c r="N25" s="26"/>
      <c r="O25" s="26"/>
      <c r="P25" s="26"/>
      <c r="Q25" s="26"/>
      <c r="R25" s="26"/>
      <c r="S25" s="26"/>
      <c r="T25" s="26"/>
      <c r="U25" s="10"/>
    </row>
    <row r="26" spans="3:21">
      <c r="C26" s="6"/>
      <c r="D26" s="51">
        <v>42917</v>
      </c>
      <c r="E26" s="44" t="s">
        <v>41</v>
      </c>
      <c r="F26" s="45"/>
      <c r="G26" s="45"/>
      <c r="H26" s="7">
        <v>1500</v>
      </c>
      <c r="I26" s="52"/>
      <c r="J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3:21">
      <c r="C27" s="6"/>
      <c r="D27" s="53"/>
      <c r="E27" s="44"/>
      <c r="F27" s="45" t="s">
        <v>42</v>
      </c>
      <c r="G27" s="45"/>
      <c r="H27" s="7"/>
      <c r="I27" s="52">
        <v>1500</v>
      </c>
      <c r="J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3:21">
      <c r="C28" s="6"/>
      <c r="D28" s="53"/>
      <c r="E28" s="44"/>
      <c r="F28" s="45"/>
      <c r="G28" s="45"/>
      <c r="H28" s="7"/>
      <c r="I28" s="52"/>
      <c r="J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3:21" ht="15" thickBot="1">
      <c r="C29" s="6"/>
      <c r="D29" s="51">
        <v>42917</v>
      </c>
      <c r="E29" s="44" t="s">
        <v>43</v>
      </c>
      <c r="F29" s="45"/>
      <c r="G29" s="45"/>
      <c r="H29" s="7">
        <v>900</v>
      </c>
      <c r="I29" s="52"/>
      <c r="J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3:21">
      <c r="C30" s="6"/>
      <c r="D30" s="53"/>
      <c r="E30" s="44"/>
      <c r="F30" s="45" t="s">
        <v>39</v>
      </c>
      <c r="G30" s="45"/>
      <c r="H30" s="7"/>
      <c r="I30" s="52">
        <v>900</v>
      </c>
      <c r="J30" s="8"/>
      <c r="K30" s="1"/>
      <c r="L30" s="31"/>
      <c r="M30" s="27"/>
      <c r="N30" s="28"/>
      <c r="O30" s="35" t="s">
        <v>16</v>
      </c>
      <c r="P30" s="36" t="s">
        <v>17</v>
      </c>
      <c r="Q30" s="1"/>
      <c r="R30" s="1"/>
      <c r="S30" s="1"/>
      <c r="T30" s="1"/>
      <c r="U30" s="1"/>
    </row>
    <row r="31" spans="3:21" ht="15.6">
      <c r="C31" s="6"/>
      <c r="D31" s="53"/>
      <c r="E31" s="44"/>
      <c r="F31" s="45"/>
      <c r="G31" s="45"/>
      <c r="H31" s="7"/>
      <c r="I31" s="52"/>
      <c r="J31" s="8"/>
      <c r="K31" s="1"/>
      <c r="L31" s="32"/>
      <c r="M31" s="33" t="s">
        <v>6</v>
      </c>
      <c r="N31" s="29" t="s">
        <v>5</v>
      </c>
      <c r="O31" s="37" t="s">
        <v>15</v>
      </c>
      <c r="P31" s="38" t="s">
        <v>18</v>
      </c>
      <c r="Q31" s="1"/>
      <c r="R31" s="1"/>
      <c r="S31" s="1"/>
      <c r="T31" s="1"/>
      <c r="U31" s="1"/>
    </row>
    <row r="32" spans="3:21" ht="15.6">
      <c r="C32" s="6"/>
      <c r="D32" s="51">
        <v>43282</v>
      </c>
      <c r="E32" s="44" t="s">
        <v>39</v>
      </c>
      <c r="F32" s="45"/>
      <c r="G32" s="45"/>
      <c r="H32" s="7">
        <v>1700</v>
      </c>
      <c r="I32" s="52"/>
      <c r="J32" s="8"/>
      <c r="K32" s="1"/>
      <c r="L32" s="32"/>
      <c r="M32" s="33" t="s">
        <v>7</v>
      </c>
      <c r="N32" s="29" t="s">
        <v>8</v>
      </c>
      <c r="O32" s="37" t="s">
        <v>18</v>
      </c>
      <c r="P32" s="38" t="s">
        <v>15</v>
      </c>
      <c r="Q32" s="1"/>
      <c r="R32" s="1"/>
      <c r="S32" s="1"/>
      <c r="T32" s="1"/>
      <c r="U32" s="1"/>
    </row>
    <row r="33" spans="3:21" ht="15.6">
      <c r="C33" s="6"/>
      <c r="D33" s="53"/>
      <c r="E33" s="44"/>
      <c r="F33" s="45" t="s">
        <v>40</v>
      </c>
      <c r="G33" s="45"/>
      <c r="H33" s="7"/>
      <c r="I33" s="52">
        <v>1700</v>
      </c>
      <c r="J33" s="8"/>
      <c r="K33" s="1"/>
      <c r="L33" s="32"/>
      <c r="M33" s="33" t="s">
        <v>9</v>
      </c>
      <c r="N33" s="29" t="s">
        <v>10</v>
      </c>
      <c r="O33" s="37" t="s">
        <v>18</v>
      </c>
      <c r="P33" s="38" t="s">
        <v>15</v>
      </c>
      <c r="Q33" s="1"/>
      <c r="R33" s="1"/>
      <c r="S33" s="1"/>
      <c r="T33" s="1"/>
      <c r="U33" s="1"/>
    </row>
    <row r="34" spans="3:21" ht="15.6">
      <c r="C34" s="6"/>
      <c r="D34" s="53"/>
      <c r="E34" s="44"/>
      <c r="F34" s="45"/>
      <c r="G34" s="45"/>
      <c r="H34" s="7"/>
      <c r="I34" s="52"/>
      <c r="J34" s="8"/>
      <c r="K34" s="1"/>
      <c r="L34" s="32"/>
      <c r="M34" s="33" t="s">
        <v>11</v>
      </c>
      <c r="N34" s="29" t="s">
        <v>12</v>
      </c>
      <c r="O34" s="37" t="s">
        <v>18</v>
      </c>
      <c r="P34" s="38" t="s">
        <v>15</v>
      </c>
      <c r="Q34" s="1"/>
      <c r="R34" s="1"/>
      <c r="S34" s="1"/>
      <c r="T34" s="1"/>
      <c r="U34" s="1"/>
    </row>
    <row r="35" spans="3:21" ht="16.2" thickBot="1">
      <c r="C35" s="6"/>
      <c r="D35" s="51">
        <v>43282</v>
      </c>
      <c r="E35" s="44" t="s">
        <v>39</v>
      </c>
      <c r="F35" s="45"/>
      <c r="G35" s="45"/>
      <c r="H35" s="7">
        <v>100</v>
      </c>
      <c r="I35" s="52"/>
      <c r="J35" s="8"/>
      <c r="K35" s="1"/>
      <c r="L35" s="32"/>
      <c r="M35" s="34" t="s">
        <v>13</v>
      </c>
      <c r="N35" s="30" t="s">
        <v>14</v>
      </c>
      <c r="O35" s="39" t="s">
        <v>15</v>
      </c>
      <c r="P35" s="40" t="s">
        <v>18</v>
      </c>
      <c r="Q35" s="1"/>
      <c r="R35" s="1"/>
      <c r="S35" s="1"/>
      <c r="T35" s="1"/>
      <c r="U35" s="1"/>
    </row>
    <row r="36" spans="3:21">
      <c r="C36" s="6"/>
      <c r="D36" s="53"/>
      <c r="E36" s="44"/>
      <c r="F36" s="45" t="s">
        <v>45</v>
      </c>
      <c r="G36" s="45"/>
      <c r="H36" s="7"/>
      <c r="I36" s="52">
        <v>100</v>
      </c>
      <c r="J36" s="8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3:21">
      <c r="C37" s="6"/>
      <c r="D37" s="53"/>
      <c r="E37" s="44"/>
      <c r="F37" s="45"/>
      <c r="G37" s="45"/>
      <c r="H37" s="7"/>
      <c r="I37" s="52"/>
      <c r="J37" s="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3:21">
      <c r="C38" s="6"/>
      <c r="D38" s="51">
        <v>44013</v>
      </c>
      <c r="E38" s="44" t="s">
        <v>40</v>
      </c>
      <c r="F38" s="45"/>
      <c r="G38" s="45"/>
      <c r="H38" s="7">
        <v>300</v>
      </c>
      <c r="I38" s="52"/>
      <c r="J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3:21">
      <c r="C39" s="6"/>
      <c r="D39" s="53"/>
      <c r="E39" s="44"/>
      <c r="F39" s="45" t="s">
        <v>39</v>
      </c>
      <c r="G39" s="45"/>
      <c r="H39" s="7"/>
      <c r="I39" s="52">
        <v>300</v>
      </c>
      <c r="J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3:21">
      <c r="C40" s="6"/>
      <c r="D40" s="53"/>
      <c r="E40" s="44"/>
      <c r="F40" s="45"/>
      <c r="G40" s="45"/>
      <c r="H40" s="7"/>
      <c r="I40" s="52"/>
      <c r="J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3:21">
      <c r="C41" s="6"/>
      <c r="D41" s="51">
        <v>44378</v>
      </c>
      <c r="E41" s="44" t="s">
        <v>45</v>
      </c>
      <c r="F41" s="45"/>
      <c r="G41" s="45"/>
      <c r="H41" s="7">
        <f>I43-H42</f>
        <v>1485</v>
      </c>
      <c r="I41" s="52"/>
      <c r="J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3:21">
      <c r="C42" s="6"/>
      <c r="D42" s="53"/>
      <c r="E42" s="44" t="s">
        <v>47</v>
      </c>
      <c r="F42" s="45"/>
      <c r="G42" s="45"/>
      <c r="H42" s="7">
        <v>15</v>
      </c>
      <c r="I42" s="52"/>
      <c r="J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3:21">
      <c r="C43" s="6"/>
      <c r="D43" s="53"/>
      <c r="E43" s="44"/>
      <c r="F43" s="45" t="s">
        <v>41</v>
      </c>
      <c r="G43" s="45"/>
      <c r="H43" s="7"/>
      <c r="I43" s="52">
        <v>1500</v>
      </c>
      <c r="J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3:21">
      <c r="C44" s="6"/>
      <c r="D44" s="53"/>
      <c r="E44" s="44"/>
      <c r="F44" s="45"/>
      <c r="G44" s="45"/>
      <c r="H44" s="7"/>
      <c r="I44" s="52"/>
      <c r="J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3:21">
      <c r="C45" s="6"/>
      <c r="D45" s="51">
        <v>44743</v>
      </c>
      <c r="E45" s="44" t="s">
        <v>41</v>
      </c>
      <c r="F45" s="45"/>
      <c r="G45" s="45"/>
      <c r="H45" s="7">
        <v>2250</v>
      </c>
      <c r="I45" s="52"/>
      <c r="J45" s="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3:21">
      <c r="C46" s="6"/>
      <c r="D46" s="53"/>
      <c r="E46" s="44"/>
      <c r="F46" s="45" t="s">
        <v>42</v>
      </c>
      <c r="G46" s="45"/>
      <c r="H46" s="7"/>
      <c r="I46" s="52">
        <v>2250</v>
      </c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3:21">
      <c r="C47" s="6"/>
      <c r="D47" s="53"/>
      <c r="E47" s="44"/>
      <c r="F47" s="45"/>
      <c r="G47" s="45"/>
      <c r="H47" s="7"/>
      <c r="I47" s="52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3:21">
      <c r="C48" s="6"/>
      <c r="D48" s="51">
        <v>44743</v>
      </c>
      <c r="E48" s="44" t="s">
        <v>43</v>
      </c>
      <c r="F48" s="45"/>
      <c r="G48" s="45"/>
      <c r="H48" s="7">
        <v>1350</v>
      </c>
      <c r="I48" s="52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>
      <c r="C49" s="6"/>
      <c r="D49" s="53"/>
      <c r="E49" s="44"/>
      <c r="F49" s="45" t="s">
        <v>39</v>
      </c>
      <c r="G49" s="45"/>
      <c r="H49" s="7"/>
      <c r="I49" s="52">
        <v>1350</v>
      </c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>
      <c r="C50" s="6"/>
      <c r="D50" s="53"/>
      <c r="E50" s="44"/>
      <c r="F50" s="45"/>
      <c r="G50" s="45"/>
      <c r="H50" s="7"/>
      <c r="I50" s="52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>
      <c r="C51" s="6"/>
      <c r="D51" s="51">
        <v>11140</v>
      </c>
      <c r="E51" s="44" t="s">
        <v>48</v>
      </c>
      <c r="F51" s="45"/>
      <c r="G51" s="45"/>
      <c r="H51" s="7">
        <v>1400</v>
      </c>
      <c r="I51" s="52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2:21">
      <c r="C52" s="6"/>
      <c r="D52" s="53"/>
      <c r="E52" s="44"/>
      <c r="F52" s="45" t="s">
        <v>45</v>
      </c>
      <c r="G52" s="45"/>
      <c r="H52" s="7"/>
      <c r="I52" s="52">
        <v>1400</v>
      </c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>
      <c r="C53" s="6"/>
      <c r="D53" s="53"/>
      <c r="E53" s="44"/>
      <c r="F53" s="45"/>
      <c r="G53" s="45"/>
      <c r="H53" s="7"/>
      <c r="I53" s="52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>
      <c r="C54" s="6"/>
      <c r="D54" s="51">
        <v>11505</v>
      </c>
      <c r="E54" s="44" t="s">
        <v>49</v>
      </c>
      <c r="F54" s="45"/>
      <c r="G54" s="45"/>
      <c r="H54" s="7">
        <v>200</v>
      </c>
      <c r="I54" s="52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>
      <c r="C55" s="6"/>
      <c r="D55" s="53"/>
      <c r="E55" s="44"/>
      <c r="F55" s="45" t="s">
        <v>41</v>
      </c>
      <c r="G55" s="45"/>
      <c r="H55" s="7"/>
      <c r="I55" s="52">
        <v>200</v>
      </c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>
      <c r="C56" s="6"/>
      <c r="D56" s="53"/>
      <c r="E56" s="44"/>
      <c r="F56" s="45"/>
      <c r="G56" s="45"/>
      <c r="H56" s="7"/>
      <c r="I56" s="52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>
      <c r="C57" s="6"/>
      <c r="D57" s="51">
        <v>11505</v>
      </c>
      <c r="E57" s="44" t="s">
        <v>39</v>
      </c>
      <c r="F57" s="45"/>
      <c r="G57" s="45"/>
      <c r="H57" s="7">
        <v>120</v>
      </c>
      <c r="I57" s="52"/>
      <c r="J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ht="15" thickBot="1">
      <c r="C58" s="6"/>
      <c r="D58" s="54"/>
      <c r="E58" s="57"/>
      <c r="F58" s="55" t="s">
        <v>50</v>
      </c>
      <c r="G58" s="55"/>
      <c r="H58" s="46"/>
      <c r="I58" s="56">
        <v>120</v>
      </c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ht="15" thickBot="1">
      <c r="C59" s="9"/>
      <c r="D59" s="26"/>
      <c r="E59" s="26"/>
      <c r="F59" s="26"/>
      <c r="G59" s="26"/>
      <c r="H59" s="26"/>
      <c r="I59" s="26"/>
      <c r="J59" s="1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>
      <c r="B60" s="15"/>
      <c r="C60" s="15"/>
      <c r="D60" s="15"/>
      <c r="E60" s="15"/>
      <c r="F60" s="15"/>
      <c r="G60" s="15"/>
      <c r="H60" s="15"/>
      <c r="I60" s="15"/>
      <c r="J60" s="1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>
      <c r="B61" s="15"/>
      <c r="C61" s="15"/>
      <c r="D61" s="15"/>
      <c r="E61" s="15"/>
      <c r="F61" s="15"/>
      <c r="G61" s="15"/>
      <c r="H61" s="15"/>
      <c r="I61" s="15"/>
      <c r="J61" s="15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>
      <c r="B62" s="15"/>
      <c r="C62" s="15"/>
      <c r="D62" s="15"/>
      <c r="E62" s="15"/>
      <c r="F62" s="15"/>
      <c r="G62" s="15"/>
      <c r="H62" s="15"/>
      <c r="I62" s="15"/>
      <c r="J62" s="15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>
      <c r="B63" s="15"/>
      <c r="C63" s="15"/>
      <c r="D63" s="15"/>
      <c r="E63" s="15"/>
      <c r="F63" s="15"/>
      <c r="G63" s="15"/>
      <c r="H63" s="15"/>
      <c r="I63" s="15"/>
      <c r="J63" s="1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>
      <c r="B64" s="15"/>
      <c r="C64" s="15"/>
      <c r="D64" s="15"/>
      <c r="E64" s="15"/>
      <c r="F64" s="15"/>
      <c r="G64" s="15"/>
      <c r="H64" s="15"/>
      <c r="I64" s="15"/>
      <c r="J64" s="15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2:21">
      <c r="B65" s="15"/>
      <c r="C65" s="15"/>
      <c r="D65" s="15"/>
      <c r="E65" s="15"/>
      <c r="F65" s="15"/>
      <c r="G65" s="15"/>
      <c r="H65" s="15"/>
      <c r="I65" s="15"/>
      <c r="J65" s="1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2:21">
      <c r="B66" s="15"/>
      <c r="C66" s="15"/>
      <c r="D66" s="15"/>
      <c r="E66" s="15"/>
      <c r="F66" s="15"/>
      <c r="G66" s="15"/>
      <c r="H66" s="15"/>
      <c r="I66" s="15"/>
      <c r="J66" s="1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2:21">
      <c r="B67" s="15"/>
      <c r="C67" s="15"/>
      <c r="D67" s="15"/>
      <c r="E67" s="15"/>
      <c r="F67" s="15"/>
      <c r="G67" s="15"/>
      <c r="H67" s="15"/>
      <c r="I67" s="15"/>
      <c r="J67" s="1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2:21">
      <c r="B68" s="15"/>
      <c r="C68" s="15"/>
      <c r="D68" s="15"/>
      <c r="E68" s="15"/>
      <c r="F68" s="15"/>
      <c r="G68" s="15"/>
      <c r="H68" s="15"/>
      <c r="I68" s="15"/>
      <c r="J68" s="15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2:21">
      <c r="B69" s="15"/>
      <c r="C69" s="15"/>
      <c r="D69" s="15"/>
      <c r="E69" s="15"/>
      <c r="F69" s="15"/>
      <c r="G69" s="15"/>
      <c r="H69" s="15"/>
      <c r="I69" s="15"/>
      <c r="J69" s="15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2:21">
      <c r="B70" s="15"/>
      <c r="C70" s="15"/>
      <c r="D70" s="15"/>
      <c r="E70" s="15"/>
      <c r="F70" s="15"/>
      <c r="G70" s="15"/>
      <c r="H70" s="15"/>
      <c r="I70" s="15"/>
      <c r="J70" s="15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2:21">
      <c r="B71" s="15"/>
      <c r="C71" s="15"/>
      <c r="D71" s="15"/>
      <c r="E71" s="15"/>
      <c r="F71" s="15"/>
      <c r="G71" s="15"/>
      <c r="H71" s="15"/>
      <c r="I71" s="15"/>
      <c r="J71" s="15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2:21">
      <c r="B72" s="15"/>
      <c r="C72" s="15"/>
      <c r="D72" s="15"/>
      <c r="E72" s="15"/>
      <c r="F72" s="15"/>
      <c r="G72" s="15"/>
      <c r="H72" s="15"/>
      <c r="I72" s="15"/>
      <c r="J72" s="15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2:21">
      <c r="B73" s="15"/>
      <c r="C73" s="15"/>
      <c r="D73" s="15"/>
      <c r="E73" s="15"/>
      <c r="F73" s="15"/>
      <c r="G73" s="15"/>
      <c r="H73" s="15"/>
      <c r="I73" s="15"/>
      <c r="J73" s="15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2:21">
      <c r="B74" s="15"/>
      <c r="C74" s="15"/>
      <c r="D74" s="15"/>
      <c r="E74" s="15"/>
      <c r="F74" s="15"/>
      <c r="G74" s="15"/>
      <c r="H74" s="15"/>
      <c r="I74" s="15"/>
      <c r="J74" s="15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2:21">
      <c r="B75" s="15"/>
      <c r="C75" s="15"/>
      <c r="D75" s="15"/>
      <c r="E75" s="15"/>
      <c r="F75" s="15"/>
      <c r="G75" s="15"/>
      <c r="H75" s="15"/>
      <c r="I75" s="15"/>
      <c r="J75" s="15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2:21">
      <c r="B76" s="15"/>
      <c r="C76" s="15"/>
      <c r="D76" s="15"/>
      <c r="E76" s="15"/>
      <c r="F76" s="15"/>
      <c r="G76" s="15"/>
      <c r="H76" s="15"/>
      <c r="I76" s="15"/>
      <c r="J76" s="15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2:21">
      <c r="B77" s="15"/>
      <c r="C77" s="15"/>
      <c r="D77" s="15"/>
      <c r="E77" s="15"/>
      <c r="F77" s="15"/>
      <c r="G77" s="15"/>
      <c r="H77" s="15"/>
      <c r="I77" s="15"/>
      <c r="J77" s="15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2:21">
      <c r="B78" s="15"/>
      <c r="C78" s="15"/>
      <c r="D78" s="15"/>
      <c r="E78" s="15"/>
      <c r="F78" s="15"/>
      <c r="G78" s="15"/>
      <c r="H78" s="15"/>
      <c r="I78" s="15"/>
      <c r="J78" s="15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2:21">
      <c r="B79" s="15"/>
      <c r="C79" s="15"/>
      <c r="D79" s="15"/>
      <c r="E79" s="15"/>
      <c r="F79" s="15"/>
      <c r="G79" s="15"/>
      <c r="H79" s="15"/>
      <c r="I79" s="15"/>
      <c r="J79" s="15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2:21">
      <c r="B80" s="15"/>
      <c r="C80" s="15"/>
      <c r="D80" s="15"/>
      <c r="E80" s="15"/>
      <c r="F80" s="15"/>
      <c r="G80" s="15"/>
      <c r="H80" s="15"/>
      <c r="I80" s="15"/>
      <c r="J80" s="15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2:21">
      <c r="B81" s="15"/>
      <c r="C81" s="15"/>
      <c r="D81" s="15"/>
      <c r="E81" s="15"/>
      <c r="F81" s="15"/>
      <c r="G81" s="15"/>
      <c r="H81" s="15"/>
      <c r="I81" s="15"/>
      <c r="J81" s="15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2:21">
      <c r="B82" s="15"/>
      <c r="C82" s="15"/>
      <c r="D82" s="15"/>
      <c r="E82" s="15"/>
      <c r="F82" s="15"/>
      <c r="G82" s="15"/>
      <c r="H82" s="15"/>
      <c r="I82" s="15"/>
      <c r="J82" s="15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2:21">
      <c r="B83" s="15"/>
      <c r="C83" s="15"/>
      <c r="D83" s="15"/>
      <c r="E83" s="15"/>
      <c r="F83" s="15"/>
      <c r="G83" s="15"/>
      <c r="H83" s="15"/>
      <c r="I83" s="15"/>
      <c r="J83" s="15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2:21">
      <c r="B84" s="15"/>
      <c r="C84" s="15"/>
      <c r="D84" s="15"/>
      <c r="E84" s="15"/>
      <c r="F84" s="15"/>
      <c r="G84" s="15"/>
      <c r="H84" s="15"/>
      <c r="I84" s="15"/>
      <c r="J84" s="15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2:21">
      <c r="B85" s="15"/>
      <c r="C85" s="15"/>
      <c r="D85" s="15"/>
      <c r="E85" s="15"/>
      <c r="F85" s="15"/>
      <c r="G85" s="15"/>
      <c r="H85" s="15"/>
      <c r="I85" s="15"/>
      <c r="J85" s="15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2:21">
      <c r="B86" s="15"/>
      <c r="C86" s="15"/>
      <c r="D86" s="15"/>
      <c r="E86" s="15"/>
      <c r="F86" s="15"/>
      <c r="G86" s="15"/>
      <c r="H86" s="15"/>
      <c r="I86" s="15"/>
      <c r="J86" s="15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2:21">
      <c r="B87" s="15"/>
      <c r="C87" s="15"/>
      <c r="D87" s="15"/>
      <c r="E87" s="15"/>
      <c r="F87" s="15"/>
      <c r="G87" s="15"/>
      <c r="H87" s="15"/>
      <c r="I87" s="15"/>
      <c r="J87" s="15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2:21">
      <c r="B88" s="15"/>
      <c r="C88" s="15"/>
      <c r="D88" s="15"/>
      <c r="E88" s="15"/>
      <c r="F88" s="15"/>
      <c r="G88" s="15"/>
      <c r="H88" s="15"/>
      <c r="I88" s="15"/>
      <c r="J88" s="15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2:21">
      <c r="B89" s="15"/>
      <c r="C89" s="15"/>
      <c r="D89" s="15"/>
      <c r="E89" s="15"/>
      <c r="F89" s="15"/>
      <c r="G89" s="15"/>
      <c r="H89" s="15"/>
      <c r="I89" s="15"/>
      <c r="J89" s="15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2:21">
      <c r="B90" s="15"/>
      <c r="C90" s="15"/>
      <c r="D90" s="15"/>
      <c r="E90" s="15"/>
      <c r="F90" s="15"/>
      <c r="G90" s="15"/>
      <c r="H90" s="15"/>
      <c r="I90" s="15"/>
      <c r="J90" s="15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2:21">
      <c r="B91" s="15"/>
      <c r="C91" s="15"/>
      <c r="D91" s="15"/>
      <c r="E91" s="15"/>
      <c r="F91" s="15"/>
      <c r="G91" s="15"/>
      <c r="H91" s="15"/>
      <c r="I91" s="15"/>
      <c r="J91" s="15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2:21">
      <c r="B92" s="15"/>
      <c r="C92" s="15"/>
      <c r="D92" s="15"/>
      <c r="E92" s="15"/>
      <c r="F92" s="15"/>
      <c r="G92" s="15"/>
      <c r="H92" s="15"/>
      <c r="I92" s="15"/>
      <c r="J92" s="15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2:21">
      <c r="B93" s="15"/>
      <c r="C93" s="15"/>
      <c r="D93" s="15"/>
      <c r="E93" s="15"/>
      <c r="F93" s="15"/>
      <c r="G93" s="15"/>
      <c r="H93" s="15"/>
      <c r="I93" s="15"/>
      <c r="J93" s="15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2:21">
      <c r="B94" s="15"/>
      <c r="C94" s="15"/>
      <c r="D94" s="15"/>
      <c r="E94" s="15"/>
      <c r="F94" s="15"/>
      <c r="G94" s="15"/>
      <c r="H94" s="15"/>
      <c r="I94" s="15"/>
      <c r="J94" s="15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2:21">
      <c r="B95" s="15"/>
      <c r="C95" s="15"/>
      <c r="D95" s="15"/>
      <c r="E95" s="15"/>
      <c r="F95" s="15"/>
      <c r="G95" s="15"/>
      <c r="H95" s="15"/>
      <c r="I95" s="15"/>
      <c r="J95" s="15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2:21">
      <c r="B96" s="15"/>
      <c r="C96" s="15"/>
      <c r="D96" s="15"/>
      <c r="E96" s="15"/>
      <c r="F96" s="15"/>
      <c r="G96" s="15"/>
      <c r="H96" s="15"/>
      <c r="I96" s="15"/>
      <c r="J96" s="15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2:21">
      <c r="B97" s="15"/>
      <c r="C97" s="15"/>
      <c r="D97" s="15"/>
      <c r="E97" s="15"/>
      <c r="F97" s="15"/>
      <c r="G97" s="15"/>
      <c r="H97" s="15"/>
      <c r="I97" s="15"/>
      <c r="J97" s="15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2:21">
      <c r="B98" s="15"/>
      <c r="C98" s="15"/>
      <c r="D98" s="15"/>
      <c r="E98" s="15"/>
      <c r="F98" s="15"/>
      <c r="G98" s="15"/>
      <c r="H98" s="15"/>
      <c r="I98" s="15"/>
      <c r="J98" s="1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2:21">
      <c r="B99" s="15"/>
      <c r="C99" s="15"/>
      <c r="D99" s="15"/>
      <c r="E99" s="15"/>
      <c r="F99" s="15"/>
      <c r="G99" s="15"/>
      <c r="H99" s="15"/>
      <c r="I99" s="15"/>
      <c r="J99" s="15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2:21">
      <c r="B100" s="15"/>
      <c r="C100" s="15"/>
      <c r="D100" s="15"/>
      <c r="E100" s="15"/>
      <c r="F100" s="15"/>
      <c r="G100" s="15"/>
      <c r="H100" s="15"/>
      <c r="I100" s="15"/>
      <c r="J100" s="15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2:21">
      <c r="B101" s="15"/>
      <c r="C101" s="15"/>
      <c r="D101" s="15"/>
      <c r="E101" s="15"/>
      <c r="F101" s="15"/>
      <c r="G101" s="15"/>
      <c r="H101" s="15"/>
      <c r="I101" s="15"/>
      <c r="J101" s="15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2:21">
      <c r="B102" s="15"/>
      <c r="C102" s="15"/>
      <c r="D102" s="15"/>
      <c r="E102" s="15"/>
      <c r="F102" s="15"/>
      <c r="G102" s="15"/>
      <c r="H102" s="15"/>
      <c r="I102" s="15"/>
      <c r="J102" s="15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2:21">
      <c r="B103" s="15"/>
      <c r="C103" s="15"/>
      <c r="D103" s="15"/>
      <c r="E103" s="15"/>
      <c r="F103" s="15"/>
      <c r="G103" s="15"/>
      <c r="H103" s="15"/>
      <c r="I103" s="15"/>
      <c r="J103" s="15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2:21">
      <c r="B104" s="15"/>
      <c r="C104" s="15"/>
      <c r="D104" s="15"/>
      <c r="E104" s="15"/>
      <c r="F104" s="15"/>
      <c r="G104" s="15"/>
      <c r="H104" s="15"/>
      <c r="I104" s="15"/>
      <c r="J104" s="15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2:21">
      <c r="B105" s="15"/>
      <c r="C105" s="15"/>
      <c r="D105" s="15"/>
      <c r="E105" s="15"/>
      <c r="F105" s="15"/>
      <c r="G105" s="15"/>
      <c r="H105" s="15"/>
      <c r="I105" s="15"/>
      <c r="J105" s="15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2:21">
      <c r="B106" s="15"/>
      <c r="C106" s="15"/>
      <c r="D106" s="15"/>
      <c r="E106" s="15"/>
      <c r="F106" s="15"/>
      <c r="G106" s="15"/>
      <c r="H106" s="15"/>
      <c r="I106" s="15"/>
      <c r="J106" s="15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2:21">
      <c r="B107" s="15"/>
      <c r="C107" s="15"/>
      <c r="D107" s="15"/>
      <c r="E107" s="15"/>
      <c r="F107" s="15"/>
      <c r="G107" s="15"/>
      <c r="H107" s="15"/>
      <c r="I107" s="15"/>
      <c r="J107" s="15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2:21">
      <c r="B108" s="15"/>
      <c r="C108" s="15"/>
      <c r="D108" s="15"/>
      <c r="E108" s="15"/>
      <c r="F108" s="15"/>
      <c r="G108" s="15"/>
      <c r="H108" s="15"/>
      <c r="I108" s="15"/>
      <c r="J108" s="15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2:21">
      <c r="B109" s="15"/>
      <c r="C109" s="15"/>
      <c r="D109" s="15"/>
      <c r="E109" s="15"/>
      <c r="F109" s="15"/>
      <c r="G109" s="15"/>
      <c r="H109" s="15"/>
      <c r="I109" s="15"/>
      <c r="J109" s="15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2:21">
      <c r="B110" s="15"/>
      <c r="C110" s="15"/>
      <c r="D110" s="15"/>
      <c r="E110" s="15"/>
      <c r="F110" s="15"/>
      <c r="G110" s="15"/>
      <c r="H110" s="15"/>
      <c r="I110" s="15"/>
      <c r="J110" s="15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2:21">
      <c r="B111" s="15"/>
      <c r="C111" s="15"/>
      <c r="D111" s="15"/>
      <c r="E111" s="15"/>
      <c r="F111" s="15"/>
      <c r="G111" s="15"/>
      <c r="H111" s="15"/>
      <c r="I111" s="15"/>
      <c r="J111" s="15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2:21">
      <c r="B112" s="15"/>
      <c r="C112" s="15"/>
      <c r="D112" s="15"/>
      <c r="E112" s="15"/>
      <c r="F112" s="15"/>
      <c r="G112" s="15"/>
      <c r="H112" s="15"/>
      <c r="I112" s="15"/>
      <c r="J112" s="15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2:21">
      <c r="B113" s="15"/>
      <c r="C113" s="15"/>
      <c r="D113" s="15"/>
      <c r="E113" s="15"/>
      <c r="F113" s="15"/>
      <c r="G113" s="15"/>
      <c r="H113" s="15"/>
      <c r="I113" s="15"/>
      <c r="J113" s="15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2:21">
      <c r="B114" s="15"/>
      <c r="C114" s="15"/>
      <c r="D114" s="15"/>
      <c r="E114" s="15"/>
      <c r="F114" s="15"/>
      <c r="G114" s="15"/>
      <c r="H114" s="15"/>
      <c r="I114" s="15"/>
      <c r="J114" s="15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2:21">
      <c r="B115" s="15"/>
      <c r="C115" s="15"/>
      <c r="D115" s="15"/>
      <c r="E115" s="15"/>
      <c r="F115" s="15"/>
      <c r="G115" s="15"/>
      <c r="H115" s="15"/>
      <c r="I115" s="15"/>
      <c r="J115" s="15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2:21">
      <c r="B116" s="15"/>
      <c r="C116" s="15"/>
      <c r="D116" s="15"/>
      <c r="E116" s="15"/>
      <c r="F116" s="15"/>
      <c r="G116" s="15"/>
      <c r="H116" s="15"/>
      <c r="I116" s="15"/>
      <c r="J116" s="15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2:21">
      <c r="B117" s="15"/>
      <c r="C117" s="15"/>
      <c r="D117" s="15"/>
      <c r="E117" s="15"/>
      <c r="F117" s="15"/>
      <c r="G117" s="15"/>
      <c r="H117" s="15"/>
      <c r="I117" s="15"/>
      <c r="J117" s="15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2:21">
      <c r="B118" s="15"/>
      <c r="C118" s="15"/>
      <c r="D118" s="15"/>
      <c r="E118" s="15"/>
      <c r="F118" s="15"/>
      <c r="G118" s="15"/>
      <c r="H118" s="15"/>
      <c r="I118" s="15"/>
      <c r="J118" s="15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2:21">
      <c r="B119" s="15"/>
      <c r="C119" s="15"/>
      <c r="D119" s="15"/>
      <c r="E119" s="15"/>
      <c r="F119" s="15"/>
      <c r="G119" s="15"/>
      <c r="H119" s="15"/>
      <c r="I119" s="15"/>
      <c r="J119" s="15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2:21">
      <c r="B120" s="15"/>
      <c r="C120" s="15"/>
      <c r="D120" s="15"/>
      <c r="E120" s="15"/>
      <c r="F120" s="15"/>
      <c r="G120" s="15"/>
      <c r="H120" s="15"/>
      <c r="I120" s="15"/>
      <c r="J120" s="15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2:21">
      <c r="B121" s="15"/>
      <c r="C121" s="15"/>
      <c r="D121" s="15"/>
      <c r="E121" s="15"/>
      <c r="F121" s="15"/>
      <c r="G121" s="15"/>
      <c r="H121" s="15"/>
      <c r="I121" s="15"/>
      <c r="J121" s="15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2:21">
      <c r="B122" s="15"/>
      <c r="C122" s="15"/>
      <c r="D122" s="15"/>
      <c r="E122" s="15"/>
      <c r="F122" s="15"/>
      <c r="G122" s="15"/>
      <c r="H122" s="15"/>
      <c r="I122" s="15"/>
      <c r="J122" s="15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2:21">
      <c r="B123" s="15"/>
      <c r="C123" s="15"/>
      <c r="D123" s="15"/>
      <c r="E123" s="15"/>
      <c r="F123" s="15"/>
      <c r="G123" s="15"/>
      <c r="H123" s="15"/>
      <c r="I123" s="15"/>
      <c r="J123" s="15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2:21">
      <c r="B124" s="15"/>
      <c r="C124" s="15"/>
      <c r="D124" s="15"/>
      <c r="E124" s="15"/>
      <c r="F124" s="15"/>
      <c r="G124" s="15"/>
      <c r="H124" s="15"/>
      <c r="I124" s="15"/>
      <c r="J124" s="15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2:21">
      <c r="B125" s="15"/>
      <c r="C125" s="15"/>
      <c r="D125" s="15"/>
      <c r="E125" s="15"/>
      <c r="F125" s="15"/>
      <c r="G125" s="15"/>
      <c r="H125" s="15"/>
      <c r="I125" s="15"/>
      <c r="J125" s="15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2:21">
      <c r="B126" s="15"/>
      <c r="C126" s="15"/>
      <c r="D126" s="15"/>
      <c r="E126" s="15"/>
      <c r="F126" s="15"/>
      <c r="G126" s="15"/>
      <c r="H126" s="15"/>
      <c r="I126" s="15"/>
      <c r="J126" s="15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2:21" s="1" customFormat="1"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2:21" s="1" customFormat="1">
      <c r="B128" s="15"/>
      <c r="C128" s="15"/>
      <c r="D128" s="15"/>
      <c r="E128" s="15"/>
      <c r="F128" s="15"/>
      <c r="G128" s="15"/>
      <c r="H128" s="15"/>
      <c r="I128" s="15"/>
      <c r="J128" s="15"/>
    </row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</sheetData>
  <mergeCells count="2">
    <mergeCell ref="F6:H6"/>
    <mergeCell ref="E8:F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Perpetual Inventory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2020-06-11T17:58:37Z</dcterms:created>
  <dcterms:modified xsi:type="dcterms:W3CDTF">2020-09-14T02:14:13Z</dcterms:modified>
</cp:coreProperties>
</file>