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TEACHING (BRAC Uni) 2\8-fall 2023\student folders\uploaded\ch3\"/>
    </mc:Choice>
  </mc:AlternateContent>
  <xr:revisionPtr revIDLastSave="0" documentId="13_ncr:1_{F6786D4C-370A-4775-A077-F9B77ADA3B7D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roblem 1" sheetId="1" r:id="rId1"/>
    <sheet name="Solving Problem 1" sheetId="2" r:id="rId2"/>
    <sheet name="Problem 2" sheetId="3" r:id="rId3"/>
    <sheet name="Solving Problem 2" sheetId="4" r:id="rId4"/>
    <sheet name="Rough Work for Problem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H29" i="2"/>
  <c r="I12" i="4" l="1"/>
  <c r="H12" i="4"/>
  <c r="O13" i="4"/>
  <c r="P13" i="4" s="1"/>
  <c r="R13" i="4" s="1"/>
  <c r="O12" i="4"/>
  <c r="P12" i="4" s="1"/>
  <c r="R12" i="4" s="1"/>
  <c r="R14" i="4" s="1"/>
  <c r="S6" i="4" l="1"/>
  <c r="Q7" i="4"/>
  <c r="S7" i="4" s="1"/>
  <c r="S8" i="4" s="1"/>
  <c r="Q6" i="4"/>
  <c r="M20" i="2" l="1"/>
  <c r="M21" i="2" s="1"/>
  <c r="M16" i="2"/>
  <c r="M13" i="2"/>
  <c r="M7" i="2"/>
  <c r="M8" i="2" s="1"/>
  <c r="F19" i="1" l="1"/>
  <c r="E19" i="1"/>
</calcChain>
</file>

<file path=xl/sharedStrings.xml><?xml version="1.0" encoding="utf-8"?>
<sst xmlns="http://schemas.openxmlformats.org/spreadsheetml/2006/main" count="178" uniqueCount="132">
  <si>
    <t xml:space="preserve">Al-Hossain Consultation </t>
  </si>
  <si>
    <t>Trial Balance</t>
  </si>
  <si>
    <t xml:space="preserve">Account Titles </t>
  </si>
  <si>
    <t>Debit</t>
  </si>
  <si>
    <t>Cash</t>
  </si>
  <si>
    <t>Accounts Receivable</t>
  </si>
  <si>
    <t xml:space="preserve">Supplies </t>
  </si>
  <si>
    <t xml:space="preserve">Prepaid Insurance </t>
  </si>
  <si>
    <t xml:space="preserve">Equipment </t>
  </si>
  <si>
    <t xml:space="preserve">Accounts Payable </t>
  </si>
  <si>
    <t xml:space="preserve">Unearned Service Revenue </t>
  </si>
  <si>
    <t xml:space="preserve">Owner's Capital </t>
  </si>
  <si>
    <t xml:space="preserve">Service Revenue </t>
  </si>
  <si>
    <t xml:space="preserve">Salaries and Wages Expense </t>
  </si>
  <si>
    <t>Rent Expense</t>
  </si>
  <si>
    <t xml:space="preserve">Other Data: </t>
  </si>
  <si>
    <t xml:space="preserve">Loan </t>
  </si>
  <si>
    <t xml:space="preserve">Total </t>
  </si>
  <si>
    <t xml:space="preserve">Adjusting Entries (Journals) </t>
  </si>
  <si>
    <t xml:space="preserve">Date </t>
  </si>
  <si>
    <t>Ref.</t>
  </si>
  <si>
    <t>Credit</t>
  </si>
  <si>
    <t>Instructions: Prepare the adjusting entries at December 31, 2017.</t>
  </si>
  <si>
    <t>Remina Company</t>
  </si>
  <si>
    <t>SL.</t>
  </si>
  <si>
    <t xml:space="preserve">Policy </t>
  </si>
  <si>
    <t xml:space="preserve">Buildings </t>
  </si>
  <si>
    <t xml:space="preserve">Motor Vehicles </t>
  </si>
  <si>
    <t>B 4564</t>
  </si>
  <si>
    <t xml:space="preserve">Policy Value </t>
  </si>
  <si>
    <t xml:space="preserve">Purchased on </t>
  </si>
  <si>
    <t>April 1, 2016</t>
  </si>
  <si>
    <t xml:space="preserve">Term </t>
  </si>
  <si>
    <t>3 Years</t>
  </si>
  <si>
    <t>A 2958</t>
  </si>
  <si>
    <t>2 Years</t>
  </si>
  <si>
    <t xml:space="preserve">Expense Per Month </t>
  </si>
  <si>
    <t>Coverage in 2017 (In Months)</t>
  </si>
  <si>
    <t>Insurance Expense of 2017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</si>
  <si>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</si>
  <si>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</si>
  <si>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</si>
  <si>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</si>
  <si>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</si>
  <si>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</si>
  <si>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</si>
  <si>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</si>
  <si>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</si>
  <si>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January </t>
  </si>
  <si>
    <t xml:space="preserve">February </t>
  </si>
  <si>
    <t xml:space="preserve">March </t>
  </si>
  <si>
    <t>Year 2016</t>
  </si>
  <si>
    <t>Year 2017</t>
  </si>
  <si>
    <t>Year 2018</t>
  </si>
  <si>
    <t>Year 2019</t>
  </si>
  <si>
    <t>Policy B 4564</t>
  </si>
  <si>
    <t>9 Months</t>
  </si>
  <si>
    <t>12 Months</t>
  </si>
  <si>
    <t xml:space="preserve">3 Months </t>
  </si>
  <si>
    <t>Policy A 2958</t>
  </si>
  <si>
    <t xml:space="preserve">12 Months </t>
  </si>
  <si>
    <t>Saturday</t>
  </si>
  <si>
    <t>Sunday</t>
  </si>
  <si>
    <t>Monday</t>
  </si>
  <si>
    <t>Tuesday</t>
  </si>
  <si>
    <t xml:space="preserve">Wednesday </t>
  </si>
  <si>
    <t>Thursday</t>
  </si>
  <si>
    <t>Friday</t>
  </si>
  <si>
    <t>December, 2017</t>
  </si>
  <si>
    <t xml:space="preserve">SL No. </t>
  </si>
  <si>
    <t>Class Activity Question 1</t>
  </si>
  <si>
    <t>Sakib Al-Hossain started his own consultation firm, Al-Hossain Consultation, on January 1, 2020. The trial balance at March 31 is as follows.</t>
  </si>
  <si>
    <t xml:space="preserve">Per Month Expense </t>
  </si>
  <si>
    <t xml:space="preserve">Unearned (Before Adjustment) </t>
  </si>
  <si>
    <t xml:space="preserve">Unearned (After Adjustment) </t>
  </si>
  <si>
    <t>Unearned Service Revenue</t>
  </si>
  <si>
    <t>Depreciation Expense</t>
  </si>
  <si>
    <t xml:space="preserve">Interest Expense </t>
  </si>
  <si>
    <t xml:space="preserve">Annual/12 Month Rate </t>
  </si>
  <si>
    <t xml:space="preserve">Yearly Interest </t>
  </si>
  <si>
    <t>Debit ($)</t>
  </si>
  <si>
    <t>Credit ($)</t>
  </si>
  <si>
    <t>1. $ 900 of supplies have been used during the quarter.</t>
  </si>
  <si>
    <t>2. Utilities expense incurred but not paid on March 31, 2020, $ 1,500.</t>
  </si>
  <si>
    <t>4. $ 800 of the balance in the unearned service revenue account remains unearned at the end of the quarter.</t>
  </si>
  <si>
    <t>8. The loan interest rate is 12%. (The loan was taken on March 1.)</t>
  </si>
  <si>
    <t>5. Equipment is being depreciated at $ 475 per month for 24 months. (The equipment was purchased on January 1,2020)</t>
  </si>
  <si>
    <t>Workings:</t>
  </si>
  <si>
    <t xml:space="preserve">Supplies Expense </t>
  </si>
  <si>
    <t xml:space="preserve">Utilities Expense </t>
  </si>
  <si>
    <t>Utilities Payable</t>
  </si>
  <si>
    <t>$ 4,800 for 24 Months</t>
  </si>
  <si>
    <t>Expense for this period (3 Months)</t>
  </si>
  <si>
    <t xml:space="preserve">Insurance Expense (200*3) </t>
  </si>
  <si>
    <t xml:space="preserve">Revenue Earned </t>
  </si>
  <si>
    <t xml:space="preserve">Expense for this quarter </t>
  </si>
  <si>
    <t xml:space="preserve">Depreciation Expense </t>
  </si>
  <si>
    <t xml:space="preserve">Accumulated Depreciation -Equipment </t>
  </si>
  <si>
    <t xml:space="preserve">Accounts Receivable </t>
  </si>
  <si>
    <t>7. Salaries of $ 850 are accrued and unpaid at March 31.</t>
  </si>
  <si>
    <t xml:space="preserve">Salaries Expense </t>
  </si>
  <si>
    <t xml:space="preserve">Interest Payable </t>
  </si>
  <si>
    <t xml:space="preserve">Problem #2 </t>
  </si>
  <si>
    <t>Adjusting Entries (Journals) of 2017</t>
  </si>
  <si>
    <t>1. Prepaid Insurance $10,440. The company has separate insurance policies on its buildings and its motor vehicles. Policy B4564 on the building was purchased on April 1, 2016, for $7,920. The policy has a term of 3 years. Policy A2958 on the vehicles was purchased on July 1, 2017, for $4,500. This policy has a term of 2 years.</t>
  </si>
  <si>
    <t>July 1, 2017</t>
  </si>
  <si>
    <t>Calculation of Adjusting Entries for the Year 2017</t>
  </si>
  <si>
    <t xml:space="preserve">6 Months </t>
  </si>
  <si>
    <t xml:space="preserve">Relevant Accounting Period </t>
  </si>
  <si>
    <t xml:space="preserve">Asset Type </t>
  </si>
  <si>
    <t>Total Insurance Expense of 2017</t>
  </si>
  <si>
    <t xml:space="preserve">Insurance Expense </t>
  </si>
  <si>
    <t>Employee Grade</t>
  </si>
  <si>
    <t xml:space="preserve">Grade A </t>
  </si>
  <si>
    <t>Grade B</t>
  </si>
  <si>
    <t>Number of Employees</t>
  </si>
  <si>
    <t>Accrued Salaries (In Days)</t>
  </si>
  <si>
    <t xml:space="preserve">Accrued Salaries ($) </t>
  </si>
  <si>
    <t xml:space="preserve">Salaries per 5-Day Work Week (Per Employee) </t>
  </si>
  <si>
    <t xml:space="preserve">Total Salaries per 5-Day Work Week </t>
  </si>
  <si>
    <t>Total Salaries (Per Day)</t>
  </si>
  <si>
    <t xml:space="preserve">                    Total Number of Employees</t>
  </si>
  <si>
    <t xml:space="preserve">Total Accrued Salaries </t>
  </si>
  <si>
    <t xml:space="preserve">Salaries Payable </t>
  </si>
  <si>
    <t>Interest Expense (1 Month)</t>
  </si>
  <si>
    <t>Salaries Payable</t>
  </si>
  <si>
    <t>Accounting Period 3 months or quarter.</t>
  </si>
  <si>
    <t>3. The insurance policy is for 2 years. (The insurance premium was paid on January 1,2020)</t>
  </si>
  <si>
    <t>6. Invoices representing $ 2,200 of services performed during the month have not been recorded as of March 31.</t>
  </si>
  <si>
    <r>
      <t xml:space="preserve">A review of the ledger of Remina Company at December 31, 2017, produces the following data pertaining to the preparation of annual adjusting entries </t>
    </r>
    <r>
      <rPr>
        <sz val="11"/>
        <color rgb="FFFF0000"/>
        <rFont val="Calibri"/>
        <family val="2"/>
        <scheme val="minor"/>
      </rPr>
      <t/>
    </r>
  </si>
  <si>
    <t>Required: Prepare the adjusting entries for the 3 month ended Jan 1 to Mar 31, 2020</t>
  </si>
  <si>
    <t xml:space="preserve">2. Salaries and Wages Payable $0.
There are eight salaried employees. 
Employees work 5 days a week. 
Salaries are paid every Friday which is the last working day for the current week.
Five employees receive a salary of $700 each per week, and three employees earn $500 each per week. 
Assume December 31 is a Tuesday. 
Employees do not work weekends (Saturdays and Sundays). 
All employees worked the last 2 days of December.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</si>
</sst>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0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3" fontId="2" fillId="0" borderId="0" xfId="0" applyNumberFormat="1" applyFont="1"/>
    <xf numFmtId="15" fontId="3" fillId="2" borderId="0" xfId="0" applyNumberFormat="1" applyFont="1" applyFill="1"/>
    <xf numFmtId="3" fontId="3" fillId="2" borderId="0" xfId="0" applyNumberFormat="1" applyFont="1" applyFill="1"/>
    <xf numFmtId="0" fontId="3" fillId="2" borderId="2" xfId="0" applyFont="1" applyFill="1" applyBorder="1"/>
    <xf numFmtId="0" fontId="3" fillId="0" borderId="0" xfId="0" applyFont="1"/>
    <xf numFmtId="3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3" fontId="3" fillId="2" borderId="15" xfId="0" applyNumberFormat="1" applyFont="1" applyFill="1" applyBorder="1"/>
    <xf numFmtId="3" fontId="3" fillId="2" borderId="16" xfId="0" applyNumberFormat="1" applyFont="1" applyFill="1" applyBorder="1"/>
    <xf numFmtId="3" fontId="3" fillId="2" borderId="18" xfId="0" applyNumberFormat="1" applyFont="1" applyFill="1" applyBorder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14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15" xfId="0" applyFont="1" applyFill="1" applyBorder="1"/>
    <xf numFmtId="0" fontId="1" fillId="4" borderId="8" xfId="0" applyFont="1" applyFill="1" applyBorder="1"/>
    <xf numFmtId="0" fontId="1" fillId="4" borderId="16" xfId="0" applyFont="1" applyFill="1" applyBorder="1"/>
    <xf numFmtId="0" fontId="1" fillId="4" borderId="9" xfId="0" applyFont="1" applyFill="1" applyBorder="1"/>
    <xf numFmtId="0" fontId="1" fillId="4" borderId="2" xfId="0" applyFont="1" applyFill="1" applyBorder="1"/>
    <xf numFmtId="0" fontId="1" fillId="4" borderId="10" xfId="0" applyFont="1" applyFill="1" applyBorder="1"/>
    <xf numFmtId="0" fontId="1" fillId="4" borderId="2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16" fontId="1" fillId="4" borderId="21" xfId="0" applyNumberFormat="1" applyFont="1" applyFill="1" applyBorder="1"/>
    <xf numFmtId="0" fontId="0" fillId="0" borderId="0" xfId="0" applyAlignment="1">
      <alignment vertical="top" wrapText="1"/>
    </xf>
    <xf numFmtId="0" fontId="1" fillId="0" borderId="0" xfId="0" applyFont="1"/>
    <xf numFmtId="0" fontId="1" fillId="4" borderId="26" xfId="0" applyFont="1" applyFill="1" applyBorder="1"/>
    <xf numFmtId="0" fontId="1" fillId="4" borderId="27" xfId="0" applyFont="1" applyFill="1" applyBorder="1"/>
    <xf numFmtId="0" fontId="1" fillId="4" borderId="17" xfId="0" applyFont="1" applyFill="1" applyBorder="1"/>
    <xf numFmtId="0" fontId="0" fillId="2" borderId="29" xfId="0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1" fontId="1" fillId="4" borderId="21" xfId="0" applyNumberFormat="1" applyFont="1" applyFill="1" applyBorder="1"/>
    <xf numFmtId="1" fontId="1" fillId="4" borderId="15" xfId="0" applyNumberFormat="1" applyFont="1" applyFill="1" applyBorder="1"/>
    <xf numFmtId="1" fontId="1" fillId="4" borderId="16" xfId="0" applyNumberFormat="1" applyFont="1" applyFill="1" applyBorder="1"/>
    <xf numFmtId="0" fontId="0" fillId="0" borderId="0" xfId="0" applyAlignment="1">
      <alignment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3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9" xfId="0" applyBorder="1"/>
    <xf numFmtId="0" fontId="0" fillId="0" borderId="24" xfId="0" applyBorder="1"/>
    <xf numFmtId="0" fontId="0" fillId="0" borderId="20" xfId="0" applyBorder="1"/>
    <xf numFmtId="0" fontId="0" fillId="5" borderId="35" xfId="0" applyFill="1" applyBorder="1"/>
    <xf numFmtId="0" fontId="0" fillId="5" borderId="36" xfId="0" applyFill="1" applyBorder="1"/>
    <xf numFmtId="0" fontId="0" fillId="5" borderId="37" xfId="0" applyFill="1" applyBorder="1"/>
    <xf numFmtId="0" fontId="1" fillId="5" borderId="36" xfId="0" applyFont="1" applyFill="1" applyBorder="1"/>
    <xf numFmtId="0" fontId="1" fillId="0" borderId="15" xfId="0" applyFont="1" applyBorder="1"/>
    <xf numFmtId="0" fontId="1" fillId="0" borderId="33" xfId="0" applyFont="1" applyBorder="1"/>
    <xf numFmtId="0" fontId="1" fillId="0" borderId="25" xfId="0" applyFont="1" applyBorder="1"/>
    <xf numFmtId="0" fontId="1" fillId="0" borderId="34" xfId="0" applyFont="1" applyBorder="1"/>
    <xf numFmtId="0" fontId="1" fillId="5" borderId="35" xfId="0" applyFont="1" applyFill="1" applyBorder="1"/>
    <xf numFmtId="0" fontId="0" fillId="6" borderId="35" xfId="0" applyFill="1" applyBorder="1"/>
    <xf numFmtId="0" fontId="0" fillId="6" borderId="36" xfId="0" applyFill="1" applyBorder="1"/>
    <xf numFmtId="0" fontId="1" fillId="6" borderId="36" xfId="0" applyFont="1" applyFill="1" applyBorder="1"/>
    <xf numFmtId="0" fontId="0" fillId="6" borderId="37" xfId="0" applyFill="1" applyBorder="1"/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" fontId="1" fillId="4" borderId="22" xfId="0" applyNumberFormat="1" applyFont="1" applyFill="1" applyBorder="1"/>
    <xf numFmtId="1" fontId="1" fillId="4" borderId="7" xfId="0" applyNumberFormat="1" applyFont="1" applyFill="1" applyBorder="1"/>
    <xf numFmtId="1" fontId="1" fillId="4" borderId="9" xfId="0" applyNumberFormat="1" applyFont="1" applyFill="1" applyBorder="1"/>
    <xf numFmtId="0" fontId="1" fillId="0" borderId="1" xfId="0" applyFont="1" applyBorder="1"/>
    <xf numFmtId="0" fontId="1" fillId="5" borderId="1" xfId="0" applyFont="1" applyFill="1" applyBorder="1"/>
    <xf numFmtId="0" fontId="1" fillId="7" borderId="1" xfId="0" applyFont="1" applyFill="1" applyBorder="1"/>
    <xf numFmtId="0" fontId="8" fillId="3" borderId="0" xfId="0" applyFont="1" applyFill="1"/>
    <xf numFmtId="0" fontId="0" fillId="3" borderId="2" xfId="0" applyFill="1" applyBorder="1"/>
    <xf numFmtId="0" fontId="0" fillId="3" borderId="39" xfId="0" applyFill="1" applyBorder="1"/>
    <xf numFmtId="0" fontId="10" fillId="3" borderId="0" xfId="0" applyFont="1" applyFill="1"/>
    <xf numFmtId="9" fontId="0" fillId="3" borderId="0" xfId="0" applyNumberFormat="1" applyFill="1"/>
    <xf numFmtId="164" fontId="1" fillId="4" borderId="18" xfId="1" applyNumberFormat="1" applyFont="1" applyFill="1" applyBorder="1"/>
    <xf numFmtId="0" fontId="6" fillId="0" borderId="3" xfId="0" applyFont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49" fontId="0" fillId="3" borderId="1" xfId="0" applyNumberFormat="1" applyFill="1" applyBorder="1"/>
    <xf numFmtId="0" fontId="0" fillId="3" borderId="35" xfId="0" applyFill="1" applyBorder="1"/>
    <xf numFmtId="0" fontId="0" fillId="3" borderId="36" xfId="0" applyFill="1" applyBorder="1"/>
    <xf numFmtId="0" fontId="1" fillId="0" borderId="40" xfId="0" applyFont="1" applyBorder="1"/>
    <xf numFmtId="0" fontId="1" fillId="0" borderId="41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9" xfId="0" applyBorder="1"/>
    <xf numFmtId="0" fontId="0" fillId="0" borderId="38" xfId="0" applyBorder="1"/>
    <xf numFmtId="0" fontId="0" fillId="0" borderId="1" xfId="0" applyBorder="1"/>
    <xf numFmtId="0" fontId="1" fillId="8" borderId="1" xfId="0" applyFont="1" applyFill="1" applyBorder="1"/>
    <xf numFmtId="0" fontId="1" fillId="0" borderId="42" xfId="0" applyFont="1" applyBorder="1"/>
    <xf numFmtId="164" fontId="1" fillId="4" borderId="28" xfId="1" applyNumberFormat="1" applyFont="1" applyFill="1" applyBorder="1"/>
    <xf numFmtId="0" fontId="3" fillId="2" borderId="0" xfId="0" applyFont="1" applyFill="1" applyAlignment="1">
      <alignment vertical="top"/>
    </xf>
    <xf numFmtId="0" fontId="1" fillId="0" borderId="22" xfId="0" applyFont="1" applyBorder="1"/>
    <xf numFmtId="0" fontId="1" fillId="0" borderId="19" xfId="0" applyFont="1" applyBorder="1"/>
    <xf numFmtId="0" fontId="1" fillId="0" borderId="23" xfId="0" applyFont="1" applyBorder="1"/>
    <xf numFmtId="0" fontId="1" fillId="0" borderId="7" xfId="0" applyFont="1" applyBorder="1"/>
    <xf numFmtId="0" fontId="1" fillId="0" borderId="8" xfId="0" applyFont="1" applyBorder="1"/>
    <xf numFmtId="0" fontId="9" fillId="0" borderId="0" xfId="0" applyFont="1"/>
    <xf numFmtId="0" fontId="0" fillId="5" borderId="1" xfId="0" applyFill="1" applyBorder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9" fillId="2" borderId="15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12" fillId="2" borderId="20" xfId="0" applyFont="1" applyFill="1" applyBorder="1"/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0C1"/>
      <color rgb="FF8EBA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opLeftCell="A3" zoomScale="120" zoomScaleNormal="120" workbookViewId="0">
      <selection activeCell="H16" sqref="H16"/>
    </sheetView>
  </sheetViews>
  <sheetFormatPr defaultColWidth="8.90625" defaultRowHeight="15.5" x14ac:dyDescent="0.35"/>
  <cols>
    <col min="1" max="1" width="1.36328125" style="1" customWidth="1"/>
    <col min="2" max="3" width="8.90625" style="1"/>
    <col min="4" max="4" width="10.54296875" style="1" bestFit="1" customWidth="1"/>
    <col min="5" max="5" width="9.90625" style="1" bestFit="1" customWidth="1"/>
    <col min="6" max="6" width="10.453125" style="1" bestFit="1" customWidth="1"/>
    <col min="7" max="7" width="1.1796875" style="1" customWidth="1"/>
    <col min="8" max="10" width="8.90625" style="1"/>
    <col min="11" max="11" width="7.90625" style="1" customWidth="1"/>
    <col min="12" max="12" width="8.90625" style="1" customWidth="1"/>
    <col min="13" max="16384" width="8.90625" style="1"/>
  </cols>
  <sheetData>
    <row r="1" spans="1:21" x14ac:dyDescent="0.35">
      <c r="A1" s="2"/>
      <c r="B1" s="2"/>
      <c r="C1" s="2"/>
      <c r="D1" s="2"/>
      <c r="E1" s="2"/>
      <c r="F1" s="24" t="s">
        <v>70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5">
      <c r="A2" s="2"/>
      <c r="B2" s="3" t="s">
        <v>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3"/>
      <c r="B3" s="117" t="s">
        <v>0</v>
      </c>
      <c r="C3" s="117"/>
      <c r="D3" s="117"/>
      <c r="E3" s="117"/>
      <c r="F3" s="117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3"/>
      <c r="B4" s="3"/>
      <c r="C4" s="3"/>
      <c r="D4" s="3" t="s">
        <v>1</v>
      </c>
      <c r="E4" s="3"/>
      <c r="F4" s="3"/>
      <c r="G4" s="3"/>
      <c r="H4" s="2"/>
      <c r="I4" s="3" t="s">
        <v>126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" thickBot="1" x14ac:dyDescent="0.4">
      <c r="A5" s="3"/>
      <c r="B5" s="3"/>
      <c r="C5" s="3"/>
      <c r="D5" s="5">
        <v>43921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3"/>
      <c r="B6" s="10" t="s">
        <v>2</v>
      </c>
      <c r="C6" s="11"/>
      <c r="D6" s="12"/>
      <c r="E6" s="20" t="s">
        <v>80</v>
      </c>
      <c r="F6" s="20" t="s">
        <v>81</v>
      </c>
      <c r="G6" s="3"/>
      <c r="H6" s="24" t="s">
        <v>15</v>
      </c>
      <c r="I6" s="2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3"/>
      <c r="B7" s="13" t="s">
        <v>4</v>
      </c>
      <c r="C7" s="3"/>
      <c r="D7" s="14"/>
      <c r="E7" s="21">
        <v>9500</v>
      </c>
      <c r="F7" s="21"/>
      <c r="G7" s="3"/>
      <c r="H7" s="3" t="s">
        <v>82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5">
      <c r="A8" s="3"/>
      <c r="B8" s="13" t="s">
        <v>5</v>
      </c>
      <c r="C8" s="3"/>
      <c r="D8" s="14"/>
      <c r="E8" s="21">
        <v>6000</v>
      </c>
      <c r="F8" s="21"/>
      <c r="G8" s="3"/>
      <c r="H8" s="3" t="s">
        <v>83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35">
      <c r="A9" s="3"/>
      <c r="B9" s="13" t="s">
        <v>6</v>
      </c>
      <c r="C9" s="3"/>
      <c r="D9" s="14"/>
      <c r="E9" s="21">
        <v>1900</v>
      </c>
      <c r="F9" s="21"/>
      <c r="G9" s="3"/>
      <c r="H9" s="3" t="s">
        <v>127</v>
      </c>
      <c r="I9" s="2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</row>
    <row r="10" spans="1:21" x14ac:dyDescent="0.35">
      <c r="A10" s="3"/>
      <c r="B10" s="13" t="s">
        <v>7</v>
      </c>
      <c r="C10" s="3"/>
      <c r="D10" s="14"/>
      <c r="E10" s="21">
        <v>4800</v>
      </c>
      <c r="F10" s="21"/>
      <c r="G10" s="3"/>
      <c r="H10" s="3" t="s">
        <v>84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35">
      <c r="A11" s="3"/>
      <c r="B11" s="13" t="s">
        <v>8</v>
      </c>
      <c r="C11" s="3"/>
      <c r="D11" s="14"/>
      <c r="E11" s="21">
        <v>11400</v>
      </c>
      <c r="F11" s="21"/>
      <c r="G11" s="3"/>
      <c r="H11" s="3" t="s">
        <v>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 customHeight="1" x14ac:dyDescent="0.35">
      <c r="A12" s="3"/>
      <c r="B12" s="13" t="s">
        <v>9</v>
      </c>
      <c r="C12" s="3"/>
      <c r="D12" s="14"/>
      <c r="E12" s="21"/>
      <c r="F12" s="21">
        <v>4500</v>
      </c>
      <c r="G12" s="3"/>
      <c r="H12" s="109" t="s">
        <v>128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5">
      <c r="A13" s="3"/>
      <c r="B13" s="13" t="s">
        <v>10</v>
      </c>
      <c r="C13" s="3"/>
      <c r="D13" s="14"/>
      <c r="E13" s="21"/>
      <c r="F13" s="21">
        <v>3200</v>
      </c>
      <c r="G13" s="3"/>
      <c r="H13" s="3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35">
      <c r="A14" s="3"/>
      <c r="B14" s="13" t="s">
        <v>11</v>
      </c>
      <c r="C14" s="3"/>
      <c r="D14" s="14"/>
      <c r="E14" s="21"/>
      <c r="F14" s="21">
        <v>18700</v>
      </c>
      <c r="G14" s="3"/>
      <c r="H14" s="3" t="s">
        <v>85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5">
      <c r="A15" s="3"/>
      <c r="B15" s="13" t="s">
        <v>12</v>
      </c>
      <c r="C15" s="3"/>
      <c r="D15" s="14"/>
      <c r="E15" s="21"/>
      <c r="F15" s="21">
        <v>9500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5">
      <c r="A16" s="3"/>
      <c r="B16" s="13" t="s">
        <v>13</v>
      </c>
      <c r="C16" s="3"/>
      <c r="D16" s="14"/>
      <c r="E16" s="21">
        <v>6400</v>
      </c>
      <c r="F16" s="21"/>
      <c r="G16" s="3"/>
      <c r="H16" s="2" t="s">
        <v>130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5">
      <c r="A17" s="3"/>
      <c r="B17" s="13" t="s">
        <v>14</v>
      </c>
      <c r="C17" s="3"/>
      <c r="D17" s="14"/>
      <c r="E17" s="21">
        <v>900</v>
      </c>
      <c r="F17" s="21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5">
      <c r="A18" s="3"/>
      <c r="B18" s="15" t="s">
        <v>16</v>
      </c>
      <c r="C18" s="7"/>
      <c r="D18" s="16"/>
      <c r="E18" s="22"/>
      <c r="F18" s="22">
        <v>5000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" thickBot="1" x14ac:dyDescent="0.4">
      <c r="A19" s="3"/>
      <c r="B19" s="17"/>
      <c r="C19" s="18" t="s">
        <v>17</v>
      </c>
      <c r="D19" s="19"/>
      <c r="E19" s="23">
        <f>SUM(E7:E18)</f>
        <v>40900</v>
      </c>
      <c r="F19" s="23">
        <f>SUM(F7:F18)</f>
        <v>40900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5">
      <c r="A20" s="3"/>
      <c r="B20" s="3"/>
      <c r="C20" s="3"/>
      <c r="D20" s="3"/>
      <c r="E20" s="6"/>
      <c r="F20" s="6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5">
      <c r="A21" s="3"/>
      <c r="B21" s="3"/>
      <c r="C21" s="3"/>
      <c r="D21" s="3"/>
      <c r="E21" s="6"/>
      <c r="F21" s="6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5">
      <c r="A22" s="3"/>
      <c r="B22" s="3"/>
      <c r="C22" s="3"/>
      <c r="D22" s="3"/>
      <c r="E22" s="6"/>
      <c r="F22" s="6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5">
      <c r="B23" s="8"/>
      <c r="C23" s="8"/>
      <c r="D23" s="8"/>
      <c r="E23" s="9"/>
      <c r="F23" s="9"/>
      <c r="G23" s="8"/>
    </row>
    <row r="24" spans="1:21" x14ac:dyDescent="0.35">
      <c r="B24" s="8"/>
      <c r="C24" s="8"/>
      <c r="D24" s="8"/>
      <c r="E24" s="9"/>
      <c r="F24" s="9"/>
      <c r="G24" s="8"/>
    </row>
    <row r="25" spans="1:21" x14ac:dyDescent="0.35">
      <c r="B25" s="8"/>
      <c r="C25" s="8"/>
      <c r="D25" s="8"/>
      <c r="E25" s="9"/>
      <c r="F25" s="9"/>
      <c r="G25" s="8"/>
    </row>
    <row r="26" spans="1:21" x14ac:dyDescent="0.35">
      <c r="B26" s="8"/>
      <c r="C26" s="8"/>
      <c r="D26" s="8"/>
      <c r="E26" s="9"/>
      <c r="F26" s="9"/>
      <c r="G26" s="8"/>
    </row>
    <row r="27" spans="1:21" x14ac:dyDescent="0.35">
      <c r="B27" s="8"/>
      <c r="C27" s="8"/>
      <c r="D27" s="8"/>
      <c r="E27" s="9"/>
      <c r="F27" s="9"/>
      <c r="G27" s="8"/>
    </row>
    <row r="28" spans="1:21" x14ac:dyDescent="0.35">
      <c r="B28" s="8"/>
      <c r="C28" s="8"/>
      <c r="D28" s="8"/>
      <c r="E28" s="9"/>
      <c r="F28" s="9"/>
      <c r="G28" s="8"/>
    </row>
    <row r="29" spans="1:21" x14ac:dyDescent="0.35">
      <c r="B29" s="8"/>
      <c r="C29" s="8"/>
      <c r="D29" s="8"/>
      <c r="E29" s="9"/>
      <c r="F29" s="9"/>
      <c r="G29" s="8"/>
    </row>
    <row r="30" spans="1:21" x14ac:dyDescent="0.35">
      <c r="B30" s="8"/>
      <c r="C30" s="8"/>
      <c r="D30" s="8"/>
      <c r="E30" s="9"/>
      <c r="F30" s="9"/>
      <c r="G30" s="8"/>
    </row>
    <row r="31" spans="1:21" x14ac:dyDescent="0.35">
      <c r="B31" s="8"/>
      <c r="C31" s="8"/>
      <c r="D31" s="8"/>
      <c r="E31" s="9"/>
      <c r="F31" s="9"/>
      <c r="G31" s="8"/>
    </row>
    <row r="32" spans="1:21" x14ac:dyDescent="0.35">
      <c r="E32" s="4"/>
      <c r="F32" s="4"/>
    </row>
  </sheetData>
  <mergeCells count="1">
    <mergeCell ref="B3:F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EB87-EF13-4815-BB6A-4CB05EC585C1}">
  <dimension ref="A1:N32"/>
  <sheetViews>
    <sheetView zoomScale="115" zoomScaleNormal="130" workbookViewId="0">
      <selection activeCell="D26" sqref="D26"/>
    </sheetView>
  </sheetViews>
  <sheetFormatPr defaultRowHeight="14.5" x14ac:dyDescent="0.35"/>
  <cols>
    <col min="1" max="1" width="0.90625" customWidth="1"/>
    <col min="2" max="2" width="7.1796875" customWidth="1"/>
    <col min="3" max="3" width="5.1796875" customWidth="1"/>
    <col min="4" max="4" width="6.1796875" customWidth="1"/>
    <col min="6" max="6" width="13.08984375" customWidth="1"/>
    <col min="7" max="7" width="4.36328125" customWidth="1"/>
    <col min="8" max="8" width="8.6328125" customWidth="1"/>
    <col min="9" max="9" width="9.90625" customWidth="1"/>
    <col min="10" max="10" width="3.6328125" customWidth="1"/>
    <col min="11" max="11" width="17.6328125" customWidth="1"/>
    <col min="12" max="12" width="10.36328125" customWidth="1"/>
  </cols>
  <sheetData>
    <row r="1" spans="1:14" x14ac:dyDescent="0.35">
      <c r="A1" s="27"/>
      <c r="B1" s="27"/>
      <c r="C1" s="27"/>
      <c r="D1" s="118" t="s">
        <v>0</v>
      </c>
      <c r="E1" s="118"/>
      <c r="F1" s="118"/>
      <c r="G1" s="27"/>
      <c r="H1" s="27"/>
      <c r="I1" s="27"/>
      <c r="J1" s="26"/>
      <c r="K1" s="26"/>
      <c r="L1" s="26"/>
      <c r="M1" s="26"/>
      <c r="N1" s="26"/>
    </row>
    <row r="2" spans="1:14" x14ac:dyDescent="0.35">
      <c r="A2" s="27"/>
      <c r="B2" s="27"/>
      <c r="C2" s="27"/>
      <c r="D2" s="118" t="s">
        <v>18</v>
      </c>
      <c r="E2" s="118"/>
      <c r="F2" s="118"/>
      <c r="G2" s="27"/>
      <c r="H2" s="27"/>
      <c r="I2" s="27"/>
      <c r="J2" s="26"/>
      <c r="K2" s="26"/>
      <c r="L2" s="26"/>
      <c r="M2" s="26"/>
      <c r="N2" s="26"/>
    </row>
    <row r="3" spans="1:14" ht="6.65" customHeight="1" thickBot="1" x14ac:dyDescent="0.4">
      <c r="A3" s="27"/>
      <c r="B3" s="27"/>
      <c r="C3" s="27"/>
      <c r="D3" s="27"/>
      <c r="E3" s="27"/>
      <c r="F3" s="27"/>
      <c r="G3" s="27"/>
      <c r="H3" s="27"/>
      <c r="I3" s="27"/>
      <c r="J3" s="26"/>
      <c r="K3" s="26"/>
      <c r="L3" s="26"/>
      <c r="M3" s="26"/>
      <c r="N3" s="26"/>
    </row>
    <row r="4" spans="1:14" x14ac:dyDescent="0.35">
      <c r="A4" s="27"/>
      <c r="B4" s="28" t="s">
        <v>19</v>
      </c>
      <c r="C4" s="29" t="s">
        <v>69</v>
      </c>
      <c r="D4" s="29" t="s">
        <v>2</v>
      </c>
      <c r="E4" s="30"/>
      <c r="F4" s="31"/>
      <c r="G4" s="28" t="s">
        <v>20</v>
      </c>
      <c r="H4" s="28" t="s">
        <v>3</v>
      </c>
      <c r="I4" s="28" t="s">
        <v>21</v>
      </c>
      <c r="J4" s="86"/>
      <c r="K4" s="89" t="s">
        <v>87</v>
      </c>
      <c r="L4" s="26"/>
      <c r="M4" s="26"/>
      <c r="N4" s="26"/>
    </row>
    <row r="5" spans="1:14" x14ac:dyDescent="0.35">
      <c r="A5" s="27"/>
      <c r="B5" s="42">
        <v>43921</v>
      </c>
      <c r="C5" s="80">
        <v>1</v>
      </c>
      <c r="D5" s="110" t="s">
        <v>88</v>
      </c>
      <c r="E5" s="111"/>
      <c r="F5" s="112"/>
      <c r="G5" s="69"/>
      <c r="H5" s="69">
        <v>900</v>
      </c>
      <c r="I5" s="69"/>
      <c r="J5" s="27">
        <v>3</v>
      </c>
      <c r="K5" s="89" t="s">
        <v>7</v>
      </c>
      <c r="L5" s="26"/>
      <c r="M5" s="26"/>
      <c r="N5" s="26"/>
    </row>
    <row r="6" spans="1:14" x14ac:dyDescent="0.35">
      <c r="A6" s="27"/>
      <c r="B6" s="32"/>
      <c r="C6" s="81"/>
      <c r="D6" s="113"/>
      <c r="E6" s="44" t="s">
        <v>6</v>
      </c>
      <c r="F6" s="114"/>
      <c r="G6" s="69"/>
      <c r="H6" s="69"/>
      <c r="I6" s="69">
        <v>900</v>
      </c>
      <c r="J6" s="26"/>
      <c r="K6" t="s">
        <v>91</v>
      </c>
      <c r="N6" s="26"/>
    </row>
    <row r="7" spans="1:14" x14ac:dyDescent="0.35">
      <c r="A7" s="27"/>
      <c r="B7" s="34"/>
      <c r="C7" s="82"/>
      <c r="D7" s="35"/>
      <c r="E7" s="36"/>
      <c r="F7" s="37"/>
      <c r="G7" s="32"/>
      <c r="H7" s="32"/>
      <c r="I7" s="32"/>
      <c r="J7" s="26"/>
      <c r="K7" t="s">
        <v>72</v>
      </c>
      <c r="M7">
        <f>4800/24</f>
        <v>200</v>
      </c>
      <c r="N7" s="26"/>
    </row>
    <row r="8" spans="1:14" ht="15" thickBot="1" x14ac:dyDescent="0.4">
      <c r="A8" s="27"/>
      <c r="B8" s="42">
        <v>43921</v>
      </c>
      <c r="C8" s="80">
        <v>2</v>
      </c>
      <c r="D8" s="110" t="s">
        <v>89</v>
      </c>
      <c r="E8" s="111"/>
      <c r="F8" s="112"/>
      <c r="G8" s="69"/>
      <c r="H8" s="69">
        <v>1500</v>
      </c>
      <c r="I8" s="69"/>
      <c r="J8" s="26"/>
      <c r="K8" s="115" t="s">
        <v>92</v>
      </c>
      <c r="M8" s="104">
        <f>M7*3</f>
        <v>600</v>
      </c>
      <c r="N8" s="26"/>
    </row>
    <row r="9" spans="1:14" ht="15" thickTop="1" x14ac:dyDescent="0.35">
      <c r="A9" s="27"/>
      <c r="B9" s="32"/>
      <c r="C9" s="81"/>
      <c r="D9" s="113"/>
      <c r="E9" s="44" t="s">
        <v>90</v>
      </c>
      <c r="F9" s="114"/>
      <c r="G9" s="69"/>
      <c r="H9" s="69"/>
      <c r="I9" s="69">
        <v>1500</v>
      </c>
      <c r="J9" s="26"/>
      <c r="K9" s="26"/>
      <c r="L9" s="26"/>
      <c r="M9" s="26"/>
      <c r="N9" s="26"/>
    </row>
    <row r="10" spans="1:14" x14ac:dyDescent="0.35">
      <c r="A10" s="27"/>
      <c r="B10" s="34"/>
      <c r="C10" s="82"/>
      <c r="D10" s="35"/>
      <c r="E10" s="36"/>
      <c r="F10" s="37"/>
      <c r="G10" s="32"/>
      <c r="H10" s="32"/>
      <c r="I10" s="32"/>
      <c r="J10" s="27">
        <v>4</v>
      </c>
      <c r="K10" s="89" t="s">
        <v>75</v>
      </c>
      <c r="L10" s="26"/>
      <c r="M10" s="26"/>
      <c r="N10" s="26"/>
    </row>
    <row r="11" spans="1:14" x14ac:dyDescent="0.35">
      <c r="A11" s="27"/>
      <c r="B11" s="42">
        <v>43921</v>
      </c>
      <c r="C11" s="80">
        <v>3</v>
      </c>
      <c r="D11" s="110" t="s">
        <v>93</v>
      </c>
      <c r="E11" s="111"/>
      <c r="F11" s="112"/>
      <c r="G11" s="69"/>
      <c r="H11" s="69">
        <v>600</v>
      </c>
      <c r="I11" s="69"/>
      <c r="J11" s="26"/>
      <c r="K11" s="26" t="s">
        <v>73</v>
      </c>
      <c r="L11" s="26"/>
      <c r="M11" s="26">
        <v>3200</v>
      </c>
      <c r="N11" s="26"/>
    </row>
    <row r="12" spans="1:14" x14ac:dyDescent="0.35">
      <c r="A12" s="27"/>
      <c r="B12" s="32"/>
      <c r="C12" s="81"/>
      <c r="D12" s="113"/>
      <c r="E12" s="44" t="s">
        <v>7</v>
      </c>
      <c r="F12" s="114"/>
      <c r="G12" s="69"/>
      <c r="H12" s="69"/>
      <c r="I12" s="69">
        <v>600</v>
      </c>
      <c r="J12" s="26"/>
      <c r="K12" s="26" t="s">
        <v>74</v>
      </c>
      <c r="L12" s="26"/>
      <c r="M12" s="87">
        <v>800</v>
      </c>
      <c r="N12" s="26"/>
    </row>
    <row r="13" spans="1:14" ht="15" thickBot="1" x14ac:dyDescent="0.4">
      <c r="A13" s="27"/>
      <c r="B13" s="34"/>
      <c r="C13" s="82"/>
      <c r="D13" s="35"/>
      <c r="E13" s="36"/>
      <c r="F13" s="37"/>
      <c r="G13" s="32"/>
      <c r="H13" s="32"/>
      <c r="I13" s="32"/>
      <c r="J13" s="26"/>
      <c r="K13" s="26" t="s">
        <v>94</v>
      </c>
      <c r="L13" s="26"/>
      <c r="M13" s="88">
        <f>M11-M12</f>
        <v>2400</v>
      </c>
      <c r="N13" s="26"/>
    </row>
    <row r="14" spans="1:14" ht="15" thickTop="1" x14ac:dyDescent="0.35">
      <c r="A14" s="27"/>
      <c r="B14" s="42">
        <v>43921</v>
      </c>
      <c r="C14" s="80">
        <v>4</v>
      </c>
      <c r="D14" s="110" t="s">
        <v>10</v>
      </c>
      <c r="E14" s="111"/>
      <c r="F14" s="112"/>
      <c r="G14" s="69"/>
      <c r="H14" s="69">
        <v>2400</v>
      </c>
      <c r="I14" s="69"/>
      <c r="J14" s="27">
        <v>5</v>
      </c>
      <c r="K14" s="89" t="s">
        <v>76</v>
      </c>
      <c r="L14" s="26"/>
      <c r="M14" s="26"/>
      <c r="N14" s="26"/>
    </row>
    <row r="15" spans="1:14" x14ac:dyDescent="0.35">
      <c r="A15" s="27"/>
      <c r="B15" s="32"/>
      <c r="C15" s="81"/>
      <c r="D15" s="113"/>
      <c r="E15" s="44" t="s">
        <v>12</v>
      </c>
      <c r="F15" s="114"/>
      <c r="G15" s="69"/>
      <c r="H15" s="69"/>
      <c r="I15" s="69">
        <v>2400</v>
      </c>
      <c r="J15" s="26"/>
      <c r="K15" s="26" t="s">
        <v>36</v>
      </c>
      <c r="L15" s="26"/>
      <c r="M15" s="26">
        <v>475</v>
      </c>
      <c r="N15" s="26"/>
    </row>
    <row r="16" spans="1:14" ht="15" thickBot="1" x14ac:dyDescent="0.4">
      <c r="A16" s="27"/>
      <c r="B16" s="34"/>
      <c r="C16" s="82"/>
      <c r="D16" s="35"/>
      <c r="E16" s="36"/>
      <c r="F16" s="37"/>
      <c r="G16" s="32"/>
      <c r="H16" s="32"/>
      <c r="I16" s="32"/>
      <c r="J16" s="26"/>
      <c r="K16" s="26" t="s">
        <v>95</v>
      </c>
      <c r="L16" s="26"/>
      <c r="M16" s="88">
        <f>M15*3</f>
        <v>1425</v>
      </c>
      <c r="N16" s="26"/>
    </row>
    <row r="17" spans="1:14" ht="15" thickTop="1" x14ac:dyDescent="0.35">
      <c r="A17" s="27"/>
      <c r="B17" s="42">
        <v>43921</v>
      </c>
      <c r="C17" s="80">
        <v>5</v>
      </c>
      <c r="D17" s="110" t="s">
        <v>96</v>
      </c>
      <c r="E17" s="111"/>
      <c r="F17" s="112"/>
      <c r="G17" s="69"/>
      <c r="H17" s="69">
        <v>1425</v>
      </c>
      <c r="I17" s="69"/>
      <c r="J17" s="26"/>
      <c r="K17" s="26"/>
      <c r="L17" s="26"/>
      <c r="M17" s="26"/>
      <c r="N17" s="26"/>
    </row>
    <row r="18" spans="1:14" x14ac:dyDescent="0.35">
      <c r="A18" s="27"/>
      <c r="B18" s="32"/>
      <c r="C18" s="81"/>
      <c r="D18" s="113"/>
      <c r="E18" s="44" t="s">
        <v>97</v>
      </c>
      <c r="F18" s="114"/>
      <c r="G18" s="69"/>
      <c r="H18" s="69"/>
      <c r="I18" s="69">
        <v>1425</v>
      </c>
      <c r="J18" s="27">
        <v>8</v>
      </c>
      <c r="K18" s="89" t="s">
        <v>77</v>
      </c>
      <c r="L18" s="26"/>
      <c r="M18" s="26"/>
      <c r="N18" s="26"/>
    </row>
    <row r="19" spans="1:14" x14ac:dyDescent="0.35">
      <c r="A19" s="27"/>
      <c r="B19" s="34"/>
      <c r="C19" s="82"/>
      <c r="D19" s="35"/>
      <c r="E19" s="36"/>
      <c r="F19" s="37"/>
      <c r="G19" s="32"/>
      <c r="H19" s="32"/>
      <c r="I19" s="32"/>
      <c r="J19" s="26"/>
      <c r="K19" s="26" t="s">
        <v>78</v>
      </c>
      <c r="L19" s="26"/>
      <c r="M19" s="90">
        <v>0.12</v>
      </c>
      <c r="N19" s="26"/>
    </row>
    <row r="20" spans="1:14" x14ac:dyDescent="0.35">
      <c r="A20" s="27"/>
      <c r="B20" s="42">
        <v>43921</v>
      </c>
      <c r="C20" s="80">
        <v>6</v>
      </c>
      <c r="D20" s="110" t="s">
        <v>98</v>
      </c>
      <c r="E20" s="111"/>
      <c r="F20" s="112"/>
      <c r="G20" s="69"/>
      <c r="H20" s="69">
        <v>2200</v>
      </c>
      <c r="I20" s="69"/>
      <c r="J20" s="26"/>
      <c r="K20" s="26" t="s">
        <v>79</v>
      </c>
      <c r="L20" s="26"/>
      <c r="M20" s="26">
        <f>5000*0.12</f>
        <v>600</v>
      </c>
      <c r="N20" s="26"/>
    </row>
    <row r="21" spans="1:14" ht="15" thickBot="1" x14ac:dyDescent="0.4">
      <c r="A21" s="27"/>
      <c r="B21" s="32"/>
      <c r="C21" s="81"/>
      <c r="D21" s="113"/>
      <c r="E21" s="44" t="s">
        <v>12</v>
      </c>
      <c r="F21" s="114"/>
      <c r="G21" s="69"/>
      <c r="H21" s="69"/>
      <c r="I21" s="69">
        <v>2200</v>
      </c>
      <c r="J21" s="26"/>
      <c r="K21" s="26" t="s">
        <v>124</v>
      </c>
      <c r="L21" s="26"/>
      <c r="M21" s="88">
        <f>M20/12</f>
        <v>50</v>
      </c>
      <c r="N21" s="26"/>
    </row>
    <row r="22" spans="1:14" ht="15" thickTop="1" x14ac:dyDescent="0.35">
      <c r="A22" s="27"/>
      <c r="B22" s="34"/>
      <c r="C22" s="82"/>
      <c r="D22" s="35"/>
      <c r="E22" s="36"/>
      <c r="F22" s="37"/>
      <c r="G22" s="32"/>
      <c r="H22" s="32"/>
      <c r="I22" s="32"/>
      <c r="J22" s="26"/>
      <c r="K22" s="26"/>
      <c r="L22" s="26"/>
      <c r="M22" s="26"/>
      <c r="N22" s="26"/>
    </row>
    <row r="23" spans="1:14" x14ac:dyDescent="0.35">
      <c r="A23" s="27"/>
      <c r="B23" s="42">
        <v>43921</v>
      </c>
      <c r="C23" s="80">
        <v>7</v>
      </c>
      <c r="D23" s="110" t="s">
        <v>100</v>
      </c>
      <c r="E23" s="111"/>
      <c r="F23" s="112"/>
      <c r="G23" s="69"/>
      <c r="H23" s="69">
        <v>850</v>
      </c>
      <c r="I23" s="69"/>
      <c r="J23" s="26"/>
      <c r="K23" s="26"/>
      <c r="L23" s="26"/>
      <c r="M23" s="26"/>
      <c r="N23" s="26"/>
    </row>
    <row r="24" spans="1:14" x14ac:dyDescent="0.35">
      <c r="A24" s="27"/>
      <c r="B24" s="32"/>
      <c r="C24" s="81"/>
      <c r="D24" s="113"/>
      <c r="E24" s="44" t="s">
        <v>125</v>
      </c>
      <c r="F24" s="114"/>
      <c r="G24" s="69"/>
      <c r="H24" s="69"/>
      <c r="I24" s="69">
        <v>850</v>
      </c>
      <c r="J24" s="26"/>
      <c r="K24" s="26"/>
      <c r="L24" s="26"/>
      <c r="M24" s="26"/>
      <c r="N24" s="26"/>
    </row>
    <row r="25" spans="1:14" x14ac:dyDescent="0.35">
      <c r="A25" s="27"/>
      <c r="B25" s="34"/>
      <c r="C25" s="82"/>
      <c r="D25" s="35"/>
      <c r="E25" s="36"/>
      <c r="F25" s="37"/>
      <c r="G25" s="32"/>
      <c r="H25" s="32"/>
      <c r="I25" s="32"/>
      <c r="J25" s="26"/>
      <c r="K25" s="26"/>
      <c r="L25" s="26"/>
      <c r="M25" s="26"/>
      <c r="N25" s="26"/>
    </row>
    <row r="26" spans="1:14" x14ac:dyDescent="0.35">
      <c r="A26" s="27"/>
      <c r="B26" s="42">
        <v>43921</v>
      </c>
      <c r="C26" s="80">
        <v>8</v>
      </c>
      <c r="D26" s="110" t="s">
        <v>77</v>
      </c>
      <c r="E26" s="111"/>
      <c r="F26" s="112"/>
      <c r="G26" s="69"/>
      <c r="H26" s="69">
        <v>50</v>
      </c>
      <c r="I26" s="69"/>
      <c r="J26" s="26"/>
      <c r="K26" s="26"/>
      <c r="L26" s="26"/>
      <c r="M26" s="26"/>
      <c r="N26" s="26"/>
    </row>
    <row r="27" spans="1:14" x14ac:dyDescent="0.35">
      <c r="A27" s="27"/>
      <c r="B27" s="32"/>
      <c r="C27" s="81"/>
      <c r="D27" s="113"/>
      <c r="E27" s="44" t="s">
        <v>101</v>
      </c>
      <c r="F27" s="114"/>
      <c r="G27" s="69"/>
      <c r="H27" s="69"/>
      <c r="I27" s="69">
        <v>50</v>
      </c>
      <c r="J27" s="26"/>
      <c r="K27" s="26"/>
      <c r="L27" s="26"/>
      <c r="M27" s="26"/>
      <c r="N27" s="26"/>
    </row>
    <row r="28" spans="1:14" x14ac:dyDescent="0.35">
      <c r="A28" s="27"/>
      <c r="B28" s="34"/>
      <c r="C28" s="82"/>
      <c r="D28" s="35"/>
      <c r="E28" s="36"/>
      <c r="F28" s="37"/>
      <c r="G28" s="32"/>
      <c r="H28" s="32"/>
      <c r="I28" s="32"/>
      <c r="J28" s="26"/>
      <c r="K28" s="26"/>
      <c r="L28" s="26"/>
      <c r="M28" s="26"/>
      <c r="N28" s="26"/>
    </row>
    <row r="29" spans="1:14" ht="19.75" customHeight="1" thickBot="1" x14ac:dyDescent="0.4">
      <c r="A29" s="27"/>
      <c r="B29" s="38"/>
      <c r="C29" s="39"/>
      <c r="D29" s="39"/>
      <c r="E29" s="40"/>
      <c r="F29" s="41"/>
      <c r="G29" s="38"/>
      <c r="H29" s="91">
        <f>SUM(H5:H28)</f>
        <v>9925</v>
      </c>
      <c r="I29" s="91">
        <f>SUM(I5:I28)</f>
        <v>9925</v>
      </c>
      <c r="J29" s="26"/>
      <c r="K29" s="26"/>
      <c r="L29" s="26"/>
      <c r="M29" s="26"/>
      <c r="N29" s="26"/>
    </row>
    <row r="30" spans="1:14" x14ac:dyDescent="0.35">
      <c r="A30" s="27"/>
      <c r="B30" s="27"/>
      <c r="C30" s="27"/>
      <c r="D30" s="27"/>
      <c r="E30" s="27"/>
      <c r="F30" s="27"/>
      <c r="G30" s="27"/>
      <c r="H30" s="27"/>
      <c r="I30" s="27"/>
      <c r="J30" s="26"/>
      <c r="K30" s="26"/>
      <c r="L30" s="26"/>
      <c r="M30" s="26"/>
      <c r="N30" s="26"/>
    </row>
    <row r="31" spans="1:14" x14ac:dyDescent="0.35">
      <c r="A31" s="27"/>
      <c r="B31" s="27"/>
      <c r="C31" s="27"/>
      <c r="D31" s="27"/>
      <c r="E31" s="27"/>
      <c r="F31" s="27"/>
      <c r="G31" s="27"/>
      <c r="H31" s="27"/>
      <c r="I31" s="27"/>
      <c r="J31" s="26"/>
      <c r="K31" s="26"/>
      <c r="L31" s="26"/>
      <c r="M31" s="26"/>
      <c r="N31" s="26"/>
    </row>
    <row r="32" spans="1:14" x14ac:dyDescent="0.35">
      <c r="A32" s="27"/>
      <c r="B32" s="27"/>
      <c r="C32" s="27"/>
      <c r="D32" s="27"/>
      <c r="E32" s="27"/>
      <c r="F32" s="27"/>
      <c r="G32" s="27"/>
      <c r="H32" s="27"/>
      <c r="I32" s="27"/>
    </row>
  </sheetData>
  <mergeCells count="2">
    <mergeCell ref="D1:F1"/>
    <mergeCell ref="D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8F16-44C9-46FD-BC78-C23B8C2D48A5}">
  <dimension ref="B1:N10"/>
  <sheetViews>
    <sheetView tabSelected="1" topLeftCell="A9" zoomScale="145" zoomScaleNormal="160" workbookViewId="0">
      <selection activeCell="B9" sqref="B9"/>
    </sheetView>
  </sheetViews>
  <sheetFormatPr defaultRowHeight="14.5" x14ac:dyDescent="0.35"/>
  <cols>
    <col min="2" max="2" width="101.81640625" customWidth="1"/>
    <col min="4" max="4" width="15.08984375" bestFit="1" customWidth="1"/>
    <col min="5" max="5" width="12.453125" bestFit="1" customWidth="1"/>
    <col min="6" max="6" width="15.81640625" bestFit="1" customWidth="1"/>
    <col min="7" max="10" width="8.90625" customWidth="1"/>
  </cols>
  <sheetData>
    <row r="1" spans="2:14" ht="15" thickBot="1" x14ac:dyDescent="0.4"/>
    <row r="2" spans="2:14" ht="17.5" thickBot="1" x14ac:dyDescent="0.55000000000000004">
      <c r="B2" s="92" t="s">
        <v>102</v>
      </c>
    </row>
    <row r="3" spans="2:14" ht="27.65" customHeight="1" x14ac:dyDescent="0.35">
      <c r="B3" s="48" t="s">
        <v>129</v>
      </c>
      <c r="C3" s="43"/>
      <c r="D3" s="43"/>
      <c r="E3" s="43"/>
      <c r="F3" s="43"/>
      <c r="G3" s="43"/>
      <c r="H3" s="43"/>
      <c r="I3" s="43"/>
      <c r="J3" s="43"/>
    </row>
    <row r="4" spans="2:14" ht="9" customHeight="1" x14ac:dyDescent="0.35">
      <c r="B4" s="49"/>
      <c r="C4" s="43"/>
      <c r="D4" s="43"/>
      <c r="E4" s="43"/>
      <c r="F4" s="43"/>
      <c r="G4" s="43"/>
      <c r="H4" s="43"/>
      <c r="I4" s="43"/>
      <c r="J4" s="43"/>
    </row>
    <row r="5" spans="2:14" ht="43.75" customHeight="1" x14ac:dyDescent="0.35">
      <c r="B5" s="49" t="s">
        <v>104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2:14" ht="0.65" customHeight="1" x14ac:dyDescent="0.35">
      <c r="B6" s="49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2:14" ht="6" customHeight="1" x14ac:dyDescent="0.35">
      <c r="B7" s="49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2:14" ht="6.65" hidden="1" customHeight="1" x14ac:dyDescent="0.35">
      <c r="B8" s="49"/>
      <c r="C8" s="43"/>
      <c r="D8" s="43"/>
      <c r="E8" s="43"/>
      <c r="F8" s="43"/>
      <c r="G8" s="43"/>
      <c r="H8" s="43"/>
      <c r="I8" s="43"/>
      <c r="J8" s="43"/>
    </row>
    <row r="9" spans="2:14" s="115" customFormat="1" ht="128.4" customHeight="1" x14ac:dyDescent="0.35">
      <c r="B9" s="131" t="s">
        <v>131</v>
      </c>
      <c r="C9" s="132"/>
      <c r="D9" s="132"/>
      <c r="E9" s="132"/>
      <c r="F9" s="132"/>
      <c r="G9" s="132"/>
      <c r="H9" s="132"/>
      <c r="I9" s="132"/>
      <c r="J9" s="132"/>
    </row>
    <row r="10" spans="2:14" s="115" customFormat="1" ht="15" thickBot="1" x14ac:dyDescent="0.4">
      <c r="B10" s="133" t="s">
        <v>22</v>
      </c>
      <c r="C10" s="134"/>
      <c r="D10" s="134"/>
      <c r="E10" s="134"/>
      <c r="F10" s="134"/>
      <c r="G10" s="134"/>
      <c r="H10" s="134"/>
      <c r="I10" s="134"/>
      <c r="J10" s="1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FA1A-2B68-435F-BCE0-D045995B1F82}">
  <dimension ref="B2:T15"/>
  <sheetViews>
    <sheetView topLeftCell="B5" zoomScale="150" zoomScaleNormal="120" workbookViewId="0">
      <selection activeCell="D9" sqref="D9:I10"/>
    </sheetView>
  </sheetViews>
  <sheetFormatPr defaultRowHeight="14.5" x14ac:dyDescent="0.35"/>
  <cols>
    <col min="3" max="3" width="3.6328125" customWidth="1"/>
    <col min="7" max="7" width="4.1796875" customWidth="1"/>
    <col min="8" max="9" width="9.453125" bestFit="1" customWidth="1"/>
    <col min="10" max="10" width="3" customWidth="1"/>
    <col min="11" max="11" width="2.81640625" customWidth="1"/>
    <col min="12" max="12" width="14.6328125" bestFit="1" customWidth="1"/>
    <col min="13" max="13" width="21.08984375" customWidth="1"/>
    <col min="14" max="14" width="10.1796875" customWidth="1"/>
    <col min="15" max="15" width="13.81640625" customWidth="1"/>
    <col min="16" max="16" width="12.90625" customWidth="1"/>
    <col min="17" max="17" width="16.6328125" customWidth="1"/>
    <col min="18" max="18" width="18.453125" customWidth="1"/>
    <col min="19" max="19" width="13.6328125" customWidth="1"/>
  </cols>
  <sheetData>
    <row r="2" spans="2:20" ht="15" thickBot="1" x14ac:dyDescent="0.4">
      <c r="B2" s="27"/>
      <c r="C2" s="27"/>
      <c r="D2" s="118" t="s">
        <v>23</v>
      </c>
      <c r="E2" s="118"/>
      <c r="F2" s="118"/>
      <c r="G2" s="27"/>
      <c r="H2" s="27"/>
      <c r="I2" s="27"/>
    </row>
    <row r="3" spans="2:20" ht="15" thickBot="1" x14ac:dyDescent="0.4">
      <c r="B3" s="27"/>
      <c r="C3" s="27"/>
      <c r="D3" s="27" t="s">
        <v>103</v>
      </c>
      <c r="E3" s="27"/>
      <c r="F3" s="27"/>
      <c r="G3" s="27"/>
      <c r="H3" s="27"/>
      <c r="I3" s="27"/>
      <c r="L3" s="122" t="s">
        <v>106</v>
      </c>
      <c r="M3" s="123"/>
      <c r="N3" s="123"/>
      <c r="O3" s="123"/>
      <c r="P3" s="123"/>
      <c r="Q3" s="123"/>
      <c r="R3" s="123"/>
      <c r="S3" s="124"/>
    </row>
    <row r="4" spans="2:20" ht="6" customHeight="1" thickBot="1" x14ac:dyDescent="0.4">
      <c r="B4" s="27"/>
      <c r="C4" s="27"/>
      <c r="D4" s="27"/>
      <c r="E4" s="27"/>
      <c r="F4" s="27"/>
      <c r="G4" s="27"/>
      <c r="H4" s="27"/>
      <c r="I4" s="27"/>
    </row>
    <row r="5" spans="2:20" ht="43.25" customHeight="1" x14ac:dyDescent="0.35">
      <c r="B5" s="28" t="s">
        <v>19</v>
      </c>
      <c r="C5" s="28" t="s">
        <v>24</v>
      </c>
      <c r="D5" s="29" t="s">
        <v>2</v>
      </c>
      <c r="E5" s="30"/>
      <c r="F5" s="30"/>
      <c r="G5" s="28" t="s">
        <v>20</v>
      </c>
      <c r="H5" s="31" t="s">
        <v>3</v>
      </c>
      <c r="I5" s="28" t="s">
        <v>21</v>
      </c>
      <c r="K5" s="55">
        <v>1</v>
      </c>
      <c r="L5" s="54" t="s">
        <v>25</v>
      </c>
      <c r="M5" s="54" t="s">
        <v>109</v>
      </c>
      <c r="N5" s="54" t="s">
        <v>29</v>
      </c>
      <c r="O5" s="54" t="s">
        <v>30</v>
      </c>
      <c r="P5" s="54" t="s">
        <v>32</v>
      </c>
      <c r="Q5" s="54" t="s">
        <v>36</v>
      </c>
      <c r="R5" s="54" t="s">
        <v>37</v>
      </c>
      <c r="S5" s="54" t="s">
        <v>38</v>
      </c>
      <c r="T5" s="53"/>
    </row>
    <row r="6" spans="2:20" x14ac:dyDescent="0.35">
      <c r="B6" s="42">
        <v>44196</v>
      </c>
      <c r="C6" s="50">
        <v>1</v>
      </c>
      <c r="D6" s="110" t="s">
        <v>111</v>
      </c>
      <c r="E6" s="111"/>
      <c r="F6" s="111"/>
      <c r="G6" s="69"/>
      <c r="H6" s="114">
        <v>3765</v>
      </c>
      <c r="I6" s="69"/>
      <c r="L6" s="93" t="s">
        <v>28</v>
      </c>
      <c r="M6" s="93" t="s">
        <v>26</v>
      </c>
      <c r="N6" s="94">
        <v>7920</v>
      </c>
      <c r="O6" s="95" t="s">
        <v>31</v>
      </c>
      <c r="P6" s="93" t="s">
        <v>33</v>
      </c>
      <c r="Q6" s="93">
        <f>7920/36</f>
        <v>220</v>
      </c>
      <c r="R6" s="93">
        <v>12</v>
      </c>
      <c r="S6" s="93">
        <f>220*12</f>
        <v>2640</v>
      </c>
    </row>
    <row r="7" spans="2:20" x14ac:dyDescent="0.35">
      <c r="B7" s="32"/>
      <c r="C7" s="51"/>
      <c r="D7" s="113"/>
      <c r="E7" s="44" t="s">
        <v>7</v>
      </c>
      <c r="F7" s="44"/>
      <c r="G7" s="69"/>
      <c r="H7" s="114"/>
      <c r="I7" s="69">
        <v>3765</v>
      </c>
      <c r="L7" s="93" t="s">
        <v>34</v>
      </c>
      <c r="M7" s="93" t="s">
        <v>27</v>
      </c>
      <c r="N7" s="94">
        <v>4500</v>
      </c>
      <c r="O7" s="95" t="s">
        <v>105</v>
      </c>
      <c r="P7" s="93" t="s">
        <v>35</v>
      </c>
      <c r="Q7" s="93">
        <f>4500/24</f>
        <v>187.5</v>
      </c>
      <c r="R7" s="93">
        <v>6</v>
      </c>
      <c r="S7" s="93">
        <f>Q7*R7</f>
        <v>1125</v>
      </c>
    </row>
    <row r="8" spans="2:20" ht="15" thickBot="1" x14ac:dyDescent="0.4">
      <c r="B8" s="34"/>
      <c r="C8" s="52"/>
      <c r="D8" s="35"/>
      <c r="E8" s="36"/>
      <c r="F8" s="36"/>
      <c r="G8" s="32"/>
      <c r="H8" s="33"/>
      <c r="I8" s="32"/>
      <c r="N8" s="56"/>
      <c r="Q8" s="44" t="s">
        <v>110</v>
      </c>
      <c r="S8" s="103">
        <f>SUM(S6:S7)</f>
        <v>3765</v>
      </c>
    </row>
    <row r="9" spans="2:20" ht="15" thickTop="1" x14ac:dyDescent="0.35">
      <c r="B9" s="42">
        <v>44196</v>
      </c>
      <c r="C9" s="50">
        <v>2</v>
      </c>
      <c r="D9" s="110" t="s">
        <v>100</v>
      </c>
      <c r="E9" s="111"/>
      <c r="F9" s="111"/>
      <c r="G9" s="69"/>
      <c r="H9" s="114">
        <v>2000</v>
      </c>
      <c r="I9" s="69"/>
    </row>
    <row r="10" spans="2:20" x14ac:dyDescent="0.35">
      <c r="B10" s="32"/>
      <c r="C10" s="51"/>
      <c r="D10" s="113"/>
      <c r="E10" s="44" t="s">
        <v>123</v>
      </c>
      <c r="F10" s="44"/>
      <c r="G10" s="69"/>
      <c r="H10" s="114"/>
      <c r="I10" s="69">
        <v>2000</v>
      </c>
    </row>
    <row r="11" spans="2:20" ht="43.5" x14ac:dyDescent="0.35">
      <c r="B11" s="34"/>
      <c r="C11" s="52"/>
      <c r="D11" s="35"/>
      <c r="E11" s="36"/>
      <c r="F11" s="36"/>
      <c r="G11" s="32"/>
      <c r="H11" s="33"/>
      <c r="I11" s="32"/>
      <c r="L11" s="54" t="s">
        <v>112</v>
      </c>
      <c r="M11" s="54" t="s">
        <v>118</v>
      </c>
      <c r="N11" s="54" t="s">
        <v>115</v>
      </c>
      <c r="O11" s="54" t="s">
        <v>119</v>
      </c>
      <c r="P11" s="54" t="s">
        <v>120</v>
      </c>
      <c r="Q11" s="54" t="s">
        <v>116</v>
      </c>
      <c r="R11" s="54" t="s">
        <v>117</v>
      </c>
    </row>
    <row r="12" spans="2:20" ht="15" thickBot="1" x14ac:dyDescent="0.4">
      <c r="B12" s="38"/>
      <c r="C12" s="38"/>
      <c r="D12" s="45"/>
      <c r="E12" s="46"/>
      <c r="F12" s="46"/>
      <c r="G12" s="47"/>
      <c r="H12" s="108">
        <f>SUM(H6:H11)</f>
        <v>5765</v>
      </c>
      <c r="I12" s="108">
        <f>SUM(I6:I11)</f>
        <v>5765</v>
      </c>
      <c r="L12" s="105" t="s">
        <v>113</v>
      </c>
      <c r="M12" s="105">
        <v>700</v>
      </c>
      <c r="N12" s="105">
        <v>5</v>
      </c>
      <c r="O12" s="105">
        <f>M12*N12</f>
        <v>3500</v>
      </c>
      <c r="P12" s="105">
        <f>O12/5</f>
        <v>700</v>
      </c>
      <c r="Q12" s="105">
        <v>2</v>
      </c>
      <c r="R12" s="116">
        <f>P12*Q12</f>
        <v>1400</v>
      </c>
    </row>
    <row r="13" spans="2:20" x14ac:dyDescent="0.35">
      <c r="L13" s="105" t="s">
        <v>114</v>
      </c>
      <c r="M13" s="105">
        <v>500</v>
      </c>
      <c r="N13" s="105">
        <v>3</v>
      </c>
      <c r="O13" s="105">
        <f>M13*N13</f>
        <v>1500</v>
      </c>
      <c r="P13" s="105">
        <f>O13/5</f>
        <v>300</v>
      </c>
      <c r="Q13" s="105">
        <v>2</v>
      </c>
      <c r="R13" s="116">
        <f>P13*Q13</f>
        <v>600</v>
      </c>
    </row>
    <row r="14" spans="2:20" ht="15" thickBot="1" x14ac:dyDescent="0.4">
      <c r="L14" t="s">
        <v>121</v>
      </c>
      <c r="N14" s="104">
        <v>8</v>
      </c>
      <c r="P14" t="s">
        <v>122</v>
      </c>
      <c r="R14" s="107">
        <f>R12+R13</f>
        <v>2000</v>
      </c>
    </row>
    <row r="15" spans="2:20" ht="15" thickTop="1" x14ac:dyDescent="0.35"/>
  </sheetData>
  <mergeCells count="2">
    <mergeCell ref="D2:F2"/>
    <mergeCell ref="L3:S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7AF1-F26A-44FE-BC95-B2E5612B8E42}">
  <dimension ref="A1:AN17"/>
  <sheetViews>
    <sheetView view="pageBreakPreview" topLeftCell="H10" zoomScale="120" zoomScaleNormal="110" zoomScaleSheetLayoutView="120" workbookViewId="0">
      <selection activeCell="L11" sqref="L11:R12"/>
    </sheetView>
  </sheetViews>
  <sheetFormatPr defaultRowHeight="14.5" x14ac:dyDescent="0.35"/>
  <cols>
    <col min="1" max="1" width="11.81640625" bestFit="1" customWidth="1"/>
    <col min="10" max="10" width="9.81640625" customWidth="1"/>
    <col min="16" max="16" width="11.36328125" bestFit="1" customWidth="1"/>
  </cols>
  <sheetData>
    <row r="1" spans="1:40" ht="15" thickBot="1" x14ac:dyDescent="0.4">
      <c r="K1" s="100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</row>
    <row r="2" spans="1:40" ht="17.5" thickBot="1" x14ac:dyDescent="0.55000000000000004">
      <c r="K2" s="125" t="s">
        <v>108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</row>
    <row r="3" spans="1:40" ht="17" x14ac:dyDescent="0.5">
      <c r="A3" s="62"/>
      <c r="B3" s="125" t="s">
        <v>51</v>
      </c>
      <c r="C3" s="126"/>
      <c r="D3" s="126"/>
      <c r="E3" s="126"/>
      <c r="F3" s="126"/>
      <c r="G3" s="126"/>
      <c r="H3" s="126"/>
      <c r="I3" s="126"/>
      <c r="J3" s="126"/>
      <c r="K3" s="125" t="s">
        <v>52</v>
      </c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6" t="s">
        <v>53</v>
      </c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7"/>
      <c r="AI3" s="125" t="s">
        <v>54</v>
      </c>
      <c r="AJ3" s="126"/>
      <c r="AK3" s="127"/>
      <c r="AL3" s="100"/>
      <c r="AM3" s="101"/>
      <c r="AN3" s="102"/>
    </row>
    <row r="4" spans="1:40" ht="15" thickBot="1" x14ac:dyDescent="0.4">
      <c r="A4" s="63"/>
      <c r="B4" s="70" t="s">
        <v>39</v>
      </c>
      <c r="C4" s="71" t="s">
        <v>40</v>
      </c>
      <c r="D4" s="71" t="s">
        <v>41</v>
      </c>
      <c r="E4" s="71" t="s">
        <v>42</v>
      </c>
      <c r="F4" s="71" t="s">
        <v>43</v>
      </c>
      <c r="G4" s="71" t="s">
        <v>44</v>
      </c>
      <c r="H4" s="71" t="s">
        <v>45</v>
      </c>
      <c r="I4" s="71" t="s">
        <v>46</v>
      </c>
      <c r="J4" s="98" t="s">
        <v>47</v>
      </c>
      <c r="K4" s="70" t="s">
        <v>48</v>
      </c>
      <c r="L4" s="71" t="s">
        <v>49</v>
      </c>
      <c r="M4" s="71" t="s">
        <v>50</v>
      </c>
      <c r="N4" s="71" t="s">
        <v>39</v>
      </c>
      <c r="O4" s="71" t="s">
        <v>40</v>
      </c>
      <c r="P4" s="71" t="s">
        <v>41</v>
      </c>
      <c r="Q4" s="71" t="s">
        <v>42</v>
      </c>
      <c r="R4" s="71" t="s">
        <v>43</v>
      </c>
      <c r="S4" s="71" t="s">
        <v>44</v>
      </c>
      <c r="T4" s="71" t="s">
        <v>45</v>
      </c>
      <c r="U4" s="71" t="s">
        <v>46</v>
      </c>
      <c r="V4" s="72" t="s">
        <v>47</v>
      </c>
      <c r="W4" s="99" t="s">
        <v>48</v>
      </c>
      <c r="X4" s="71" t="s">
        <v>49</v>
      </c>
      <c r="Y4" s="71" t="s">
        <v>50</v>
      </c>
      <c r="Z4" s="71" t="s">
        <v>39</v>
      </c>
      <c r="AA4" s="71" t="s">
        <v>40</v>
      </c>
      <c r="AB4" s="71" t="s">
        <v>41</v>
      </c>
      <c r="AC4" s="71" t="s">
        <v>42</v>
      </c>
      <c r="AD4" s="71" t="s">
        <v>43</v>
      </c>
      <c r="AE4" s="71" t="s">
        <v>44</v>
      </c>
      <c r="AF4" s="71" t="s">
        <v>45</v>
      </c>
      <c r="AG4" s="71" t="s">
        <v>46</v>
      </c>
      <c r="AH4" s="72" t="s">
        <v>47</v>
      </c>
      <c r="AI4" s="70" t="s">
        <v>48</v>
      </c>
      <c r="AJ4" s="71" t="s">
        <v>49</v>
      </c>
      <c r="AK4" s="98" t="s">
        <v>50</v>
      </c>
      <c r="AL4" s="83" t="s">
        <v>39</v>
      </c>
      <c r="AM4" s="83" t="s">
        <v>40</v>
      </c>
      <c r="AN4" s="83" t="s">
        <v>41</v>
      </c>
    </row>
    <row r="5" spans="1:40" ht="15" thickBot="1" x14ac:dyDescent="0.4">
      <c r="A5" s="69" t="s">
        <v>55</v>
      </c>
      <c r="B5" s="74"/>
      <c r="C5" s="75"/>
      <c r="D5" s="75"/>
      <c r="E5" s="75"/>
      <c r="F5" s="76" t="s">
        <v>56</v>
      </c>
      <c r="G5" s="75"/>
      <c r="H5" s="75"/>
      <c r="I5" s="75"/>
      <c r="J5" s="75"/>
      <c r="K5" s="65"/>
      <c r="L5" s="66"/>
      <c r="M5" s="66"/>
      <c r="N5" s="66"/>
      <c r="O5" s="66"/>
      <c r="P5" s="66"/>
      <c r="Q5" s="68" t="s">
        <v>57</v>
      </c>
      <c r="R5" s="66"/>
      <c r="S5" s="66"/>
      <c r="T5" s="66"/>
      <c r="U5" s="66"/>
      <c r="V5" s="67"/>
      <c r="W5" s="75"/>
      <c r="X5" s="75"/>
      <c r="Y5" s="75"/>
      <c r="Z5" s="75"/>
      <c r="AA5" s="75"/>
      <c r="AB5" s="75"/>
      <c r="AC5" s="76" t="s">
        <v>57</v>
      </c>
      <c r="AD5" s="75"/>
      <c r="AE5" s="75"/>
      <c r="AF5" s="75"/>
      <c r="AG5" s="75"/>
      <c r="AH5" s="77"/>
      <c r="AI5" s="74"/>
      <c r="AJ5" s="76" t="s">
        <v>58</v>
      </c>
      <c r="AK5" s="77"/>
      <c r="AL5" s="57"/>
      <c r="AN5" s="58"/>
    </row>
    <row r="6" spans="1:40" ht="15" thickBot="1" x14ac:dyDescent="0.4">
      <c r="B6" s="57"/>
      <c r="K6" s="57"/>
      <c r="V6" s="58"/>
      <c r="AH6" s="58"/>
      <c r="AI6" s="57"/>
      <c r="AK6" s="58"/>
      <c r="AL6" s="57"/>
      <c r="AN6" s="58"/>
    </row>
    <row r="7" spans="1:40" ht="15" thickBot="1" x14ac:dyDescent="0.4">
      <c r="A7" s="69" t="s">
        <v>59</v>
      </c>
      <c r="B7" s="57"/>
      <c r="K7" s="96"/>
      <c r="L7" s="97"/>
      <c r="M7" s="97"/>
      <c r="N7" s="97"/>
      <c r="O7" s="97"/>
      <c r="P7" s="97"/>
      <c r="Q7" s="73" t="s">
        <v>107</v>
      </c>
      <c r="R7" s="66"/>
      <c r="S7" s="66"/>
      <c r="T7" s="66"/>
      <c r="U7" s="66"/>
      <c r="V7" s="67"/>
      <c r="W7" s="75"/>
      <c r="X7" s="75"/>
      <c r="Y7" s="75"/>
      <c r="Z7" s="75"/>
      <c r="AA7" s="75"/>
      <c r="AB7" s="75"/>
      <c r="AC7" s="76" t="s">
        <v>60</v>
      </c>
      <c r="AD7" s="75"/>
      <c r="AE7" s="75"/>
      <c r="AF7" s="75"/>
      <c r="AG7" s="75"/>
      <c r="AH7" s="75"/>
      <c r="AI7" s="128" t="s">
        <v>107</v>
      </c>
      <c r="AJ7" s="129"/>
      <c r="AK7" s="129"/>
      <c r="AL7" s="129"/>
      <c r="AM7" s="129"/>
      <c r="AN7" s="130"/>
    </row>
    <row r="8" spans="1:40" ht="15" thickBot="1" x14ac:dyDescent="0.4">
      <c r="A8" s="64"/>
      <c r="B8" s="59"/>
      <c r="C8" s="60"/>
      <c r="D8" s="60"/>
      <c r="E8" s="60"/>
      <c r="F8" s="60"/>
      <c r="G8" s="60"/>
      <c r="H8" s="60"/>
      <c r="I8" s="60"/>
      <c r="J8" s="60"/>
      <c r="K8" s="59"/>
      <c r="L8" s="60"/>
      <c r="M8" s="60"/>
      <c r="N8" s="60"/>
      <c r="O8" s="60"/>
      <c r="P8" s="60"/>
      <c r="Q8" s="60"/>
      <c r="R8" s="60"/>
      <c r="S8" s="60"/>
      <c r="T8" s="60"/>
      <c r="U8" s="60"/>
      <c r="V8" s="61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1"/>
      <c r="AI8" s="59"/>
      <c r="AJ8" s="60"/>
      <c r="AK8" s="61"/>
      <c r="AL8" s="59"/>
      <c r="AM8" s="60"/>
      <c r="AN8" s="61"/>
    </row>
    <row r="9" spans="1:40" ht="15" thickBot="1" x14ac:dyDescent="0.4">
      <c r="K9" s="59"/>
      <c r="L9" s="60"/>
      <c r="M9" s="60"/>
      <c r="N9" s="60"/>
      <c r="O9" s="60"/>
      <c r="P9" s="60"/>
      <c r="Q9" s="60"/>
      <c r="R9" s="60"/>
      <c r="S9" s="60"/>
      <c r="T9" s="60"/>
      <c r="U9" s="60"/>
      <c r="V9" s="61"/>
    </row>
    <row r="10" spans="1:40" ht="15" thickBot="1" x14ac:dyDescent="0.4"/>
    <row r="11" spans="1:40" ht="17.5" thickBot="1" x14ac:dyDescent="0.55000000000000004">
      <c r="L11" s="119" t="s">
        <v>68</v>
      </c>
      <c r="M11" s="120"/>
      <c r="N11" s="120"/>
      <c r="O11" s="120"/>
      <c r="P11" s="120"/>
      <c r="Q11" s="120"/>
      <c r="R11" s="121"/>
    </row>
    <row r="12" spans="1:40" x14ac:dyDescent="0.35">
      <c r="L12" s="78" t="s">
        <v>61</v>
      </c>
      <c r="M12" s="78" t="s">
        <v>62</v>
      </c>
      <c r="N12" s="78" t="s">
        <v>63</v>
      </c>
      <c r="O12" s="78" t="s">
        <v>64</v>
      </c>
      <c r="P12" s="78" t="s">
        <v>65</v>
      </c>
      <c r="Q12" s="78" t="s">
        <v>66</v>
      </c>
      <c r="R12" s="79" t="s">
        <v>67</v>
      </c>
    </row>
    <row r="13" spans="1:40" x14ac:dyDescent="0.35">
      <c r="L13" s="83"/>
      <c r="M13" s="83">
        <v>1</v>
      </c>
      <c r="N13" s="84">
        <v>2</v>
      </c>
      <c r="O13" s="84">
        <v>3</v>
      </c>
      <c r="P13" s="84">
        <v>4</v>
      </c>
      <c r="Q13" s="84">
        <v>5</v>
      </c>
      <c r="R13" s="106">
        <v>6</v>
      </c>
    </row>
    <row r="14" spans="1:40" x14ac:dyDescent="0.35">
      <c r="L14" s="83">
        <v>7</v>
      </c>
      <c r="M14" s="83">
        <v>8</v>
      </c>
      <c r="N14" s="84">
        <v>9</v>
      </c>
      <c r="O14" s="84">
        <v>10</v>
      </c>
      <c r="P14" s="84">
        <v>11</v>
      </c>
      <c r="Q14" s="84">
        <v>12</v>
      </c>
      <c r="R14" s="106">
        <v>13</v>
      </c>
    </row>
    <row r="15" spans="1:40" x14ac:dyDescent="0.35">
      <c r="L15" s="83">
        <v>14</v>
      </c>
      <c r="M15" s="83">
        <v>15</v>
      </c>
      <c r="N15" s="84">
        <v>16</v>
      </c>
      <c r="O15" s="84">
        <v>17</v>
      </c>
      <c r="P15" s="84">
        <v>18</v>
      </c>
      <c r="Q15" s="84">
        <v>19</v>
      </c>
      <c r="R15" s="106">
        <v>20</v>
      </c>
    </row>
    <row r="16" spans="1:40" x14ac:dyDescent="0.35">
      <c r="L16" s="83">
        <v>21</v>
      </c>
      <c r="M16" s="83">
        <v>22</v>
      </c>
      <c r="N16" s="84">
        <v>23</v>
      </c>
      <c r="O16" s="84">
        <v>24</v>
      </c>
      <c r="P16" s="84">
        <v>25</v>
      </c>
      <c r="Q16" s="84">
        <v>26</v>
      </c>
      <c r="R16" s="106">
        <v>27</v>
      </c>
    </row>
    <row r="17" spans="12:18" x14ac:dyDescent="0.35">
      <c r="L17" s="83">
        <v>28</v>
      </c>
      <c r="M17" s="83">
        <v>29</v>
      </c>
      <c r="N17" s="85">
        <v>30</v>
      </c>
      <c r="O17" s="85">
        <v>31</v>
      </c>
      <c r="P17" s="83">
        <v>1</v>
      </c>
      <c r="Q17" s="83">
        <v>2</v>
      </c>
      <c r="R17" s="106">
        <v>3</v>
      </c>
    </row>
  </sheetData>
  <mergeCells count="7">
    <mergeCell ref="K2:V2"/>
    <mergeCell ref="AI7:AN7"/>
    <mergeCell ref="AI3:AK3"/>
    <mergeCell ref="L11:R11"/>
    <mergeCell ref="B3:J3"/>
    <mergeCell ref="K3:V3"/>
    <mergeCell ref="W3:A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1</vt:lpstr>
      <vt:lpstr>Solving Problem 1</vt:lpstr>
      <vt:lpstr>Problem 2</vt:lpstr>
      <vt:lpstr>Solving Problem 2</vt:lpstr>
      <vt:lpstr>Rough Work for 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2023-11-01T07:20:59Z</dcterms:modified>
</cp:coreProperties>
</file>