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/>
  <xr:revisionPtr revIDLastSave="0" documentId="13_ncr:1_{07273A77-A77E-4AB9-832C-643C81D4F633}" xr6:coauthVersionLast="47" xr6:coauthVersionMax="47" xr10:uidLastSave="{00000000-0000-0000-0000-000000000000}"/>
  <bookViews>
    <workbookView xWindow="-110" yWindow="-110" windowWidth="19420" windowHeight="10420" firstSheet="6" activeTab="8" xr2:uid="{00000000-000D-0000-FFFF-FFFF00000000}"/>
  </bookViews>
  <sheets>
    <sheet name="Format of Financial Statements" sheetId="4" r:id="rId1"/>
    <sheet name="Sample Question 1" sheetId="1" r:id="rId2"/>
    <sheet name="Solution to the question 1" sheetId="2" r:id="rId3"/>
    <sheet name="Sample Question 2" sheetId="9" r:id="rId4"/>
    <sheet name="Solution to the question 2" sheetId="6" r:id="rId5"/>
    <sheet name="Sample Question 3 " sheetId="10" r:id="rId6"/>
    <sheet name="Solution to the question 3" sheetId="8" r:id="rId7"/>
    <sheet name="Sample Question 4" sheetId="12" r:id="rId8"/>
    <sheet name="Solution 4" sheetId="14" r:id="rId9"/>
    <sheet name="Sample Question 5" sheetId="11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3" i="14" l="1"/>
  <c r="F59" i="14" s="1"/>
  <c r="F32" i="14"/>
  <c r="D66" i="14"/>
  <c r="D63" i="14"/>
  <c r="E63" i="14" s="1"/>
  <c r="F22" i="14"/>
  <c r="E20" i="14"/>
  <c r="E19" i="14"/>
  <c r="F8" i="14"/>
  <c r="F84" i="14"/>
  <c r="E66" i="14"/>
  <c r="F44" i="14"/>
  <c r="E94" i="14" s="1"/>
  <c r="E44" i="14"/>
  <c r="E91" i="14" s="1"/>
  <c r="H43" i="14"/>
  <c r="H41" i="14"/>
  <c r="H40" i="14"/>
  <c r="F28" i="14"/>
  <c r="F7" i="14"/>
  <c r="F31" i="6"/>
  <c r="F79" i="8"/>
  <c r="F69" i="14" l="1"/>
  <c r="F71" i="14" s="1"/>
  <c r="F9" i="14"/>
  <c r="F23" i="14" s="1"/>
  <c r="F29" i="14" s="1"/>
  <c r="F31" i="14" s="1"/>
  <c r="F30" i="2"/>
  <c r="D31" i="11"/>
  <c r="C31" i="11"/>
  <c r="F86" i="14" l="1"/>
  <c r="F31" i="11"/>
  <c r="D31" i="12"/>
  <c r="C31" i="12"/>
  <c r="A5" i="9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F33" i="14" l="1"/>
  <c r="G42" i="14"/>
  <c r="F83" i="8"/>
  <c r="H42" i="14" l="1"/>
  <c r="H40" i="8"/>
  <c r="H42" i="8"/>
  <c r="H39" i="8"/>
  <c r="H44" i="14" l="1"/>
  <c r="E96" i="14"/>
  <c r="F97" i="14" s="1"/>
  <c r="F98" i="14" s="1"/>
  <c r="F43" i="8"/>
  <c r="E93" i="8" s="1"/>
  <c r="E43" i="8"/>
  <c r="E52" i="8"/>
  <c r="F58" i="8" s="1"/>
  <c r="D65" i="8"/>
  <c r="E65" i="8" s="1"/>
  <c r="D62" i="8"/>
  <c r="E62" i="8" s="1"/>
  <c r="F27" i="8"/>
  <c r="E19" i="8"/>
  <c r="E18" i="8"/>
  <c r="F8" i="8"/>
  <c r="F7" i="8"/>
  <c r="F9" i="8" s="1"/>
  <c r="F70" i="8" l="1"/>
  <c r="F68" i="8"/>
  <c r="F21" i="8"/>
  <c r="E90" i="8"/>
  <c r="F22" i="8"/>
  <c r="F28" i="8" s="1"/>
  <c r="F30" i="8" s="1"/>
  <c r="F31" i="8" s="1"/>
  <c r="I32" i="10"/>
  <c r="F81" i="6"/>
  <c r="F32" i="8" l="1"/>
  <c r="G41" i="8" s="1"/>
  <c r="E76" i="8"/>
  <c r="F85" i="8" s="1"/>
  <c r="E17" i="6"/>
  <c r="F21" i="6" s="1"/>
  <c r="F59" i="6"/>
  <c r="H41" i="6"/>
  <c r="H39" i="6"/>
  <c r="F43" i="6"/>
  <c r="E95" i="6" s="1"/>
  <c r="E43" i="6"/>
  <c r="E94" i="6" s="1"/>
  <c r="F27" i="6"/>
  <c r="F8" i="6"/>
  <c r="F7" i="6"/>
  <c r="D67" i="6"/>
  <c r="E67" i="6" s="1"/>
  <c r="D64" i="6"/>
  <c r="E64" i="6" s="1"/>
  <c r="D31" i="9"/>
  <c r="C31" i="9"/>
  <c r="F88" i="6"/>
  <c r="G43" i="8" l="1"/>
  <c r="H41" i="8"/>
  <c r="F9" i="6"/>
  <c r="F22" i="6" s="1"/>
  <c r="F28" i="6" s="1"/>
  <c r="F30" i="6" s="1"/>
  <c r="F70" i="6"/>
  <c r="F72" i="6" s="1"/>
  <c r="E102" i="4"/>
  <c r="E99" i="4"/>
  <c r="E54" i="2"/>
  <c r="E95" i="8" l="1"/>
  <c r="F96" i="8" s="1"/>
  <c r="F97" i="8" s="1"/>
  <c r="H43" i="8"/>
  <c r="F32" i="6"/>
  <c r="G40" i="6" s="1"/>
  <c r="F90" i="6"/>
  <c r="H40" i="2"/>
  <c r="H38" i="2"/>
  <c r="F42" i="2"/>
  <c r="E93" i="2" s="1"/>
  <c r="E42" i="2"/>
  <c r="E92" i="2" s="1"/>
  <c r="F87" i="2"/>
  <c r="E17" i="2"/>
  <c r="F21" i="2" s="1"/>
  <c r="E77" i="2"/>
  <c r="F7" i="2"/>
  <c r="E5" i="2"/>
  <c r="E24" i="2"/>
  <c r="F26" i="2" s="1"/>
  <c r="E68" i="2"/>
  <c r="E66" i="2"/>
  <c r="D63" i="2"/>
  <c r="E63" i="2" s="1"/>
  <c r="E4" i="2"/>
  <c r="F58" i="2"/>
  <c r="H40" i="6" l="1"/>
  <c r="G43" i="6"/>
  <c r="H43" i="6" s="1"/>
  <c r="F69" i="2"/>
  <c r="F71" i="2" s="1"/>
  <c r="F6" i="2"/>
  <c r="F8" i="2" s="1"/>
  <c r="F22" i="2" s="1"/>
  <c r="F27" i="2" s="1"/>
  <c r="F29" i="2" s="1"/>
  <c r="E31" i="1"/>
  <c r="D31" i="1"/>
  <c r="I19" i="1" s="1"/>
  <c r="E96" i="6" l="1"/>
  <c r="F97" i="6"/>
  <c r="F99" i="6" s="1"/>
  <c r="E103" i="4"/>
  <c r="H31" i="1"/>
  <c r="F31" i="2" l="1"/>
  <c r="G39" i="2" s="1"/>
  <c r="E78" i="2"/>
  <c r="F80" i="2" s="1"/>
  <c r="H39" i="2" l="1"/>
  <c r="H42" i="2" s="1"/>
  <c r="G42" i="2"/>
  <c r="E94" i="2" s="1"/>
  <c r="F95" i="2" s="1"/>
  <c r="F89" i="2"/>
  <c r="F97" i="2" l="1"/>
</calcChain>
</file>

<file path=xl/sharedStrings.xml><?xml version="1.0" encoding="utf-8"?>
<sst xmlns="http://schemas.openxmlformats.org/spreadsheetml/2006/main" count="667" uniqueCount="275">
  <si>
    <t xml:space="preserve">Debit </t>
  </si>
  <si>
    <t xml:space="preserve">Credit </t>
  </si>
  <si>
    <t xml:space="preserve">Cash </t>
  </si>
  <si>
    <t xml:space="preserve">Accounts Receivable </t>
  </si>
  <si>
    <t xml:space="preserve">Merchandise Inventory </t>
  </si>
  <si>
    <t xml:space="preserve">Supplies </t>
  </si>
  <si>
    <t xml:space="preserve">Equipment </t>
  </si>
  <si>
    <t>Accumulated Depreciation-Equipment</t>
  </si>
  <si>
    <t xml:space="preserve">Accounts Payable </t>
  </si>
  <si>
    <t xml:space="preserve">Machinery </t>
  </si>
  <si>
    <t>Accumulated Depreciation-Machinery</t>
  </si>
  <si>
    <t xml:space="preserve">Common Stock </t>
  </si>
  <si>
    <t xml:space="preserve">Additional Paid in Capital </t>
  </si>
  <si>
    <t xml:space="preserve">Retained Earnings </t>
  </si>
  <si>
    <t xml:space="preserve">Sales </t>
  </si>
  <si>
    <t xml:space="preserve">Sales Returns and Allowances </t>
  </si>
  <si>
    <t xml:space="preserve">Cost of Goods Sold </t>
  </si>
  <si>
    <t xml:space="preserve">Salaries Expense </t>
  </si>
  <si>
    <t xml:space="preserve">Adveritising Expense </t>
  </si>
  <si>
    <t xml:space="preserve">Utilities Expense </t>
  </si>
  <si>
    <t xml:space="preserve">Repair Expense </t>
  </si>
  <si>
    <t xml:space="preserve">Rent Expense </t>
  </si>
  <si>
    <t xml:space="preserve">8% Debenture </t>
  </si>
  <si>
    <t xml:space="preserve">Freight Out Expense </t>
  </si>
  <si>
    <t>The interest on the debentures has not yet been paid.</t>
  </si>
  <si>
    <t xml:space="preserve">Auditors Fee </t>
  </si>
  <si>
    <t>A cash dividend of $1 has been declared on the 50,000 ordinary shares.</t>
  </si>
  <si>
    <t>Common Stock (50,000 shares of $2 each)</t>
  </si>
  <si>
    <t>Depreciation is to be charged on a reducing-balance basis: equipment at 10%, machinery at 20%.</t>
  </si>
  <si>
    <t xml:space="preserve">Supplies on hand totaled $2000. </t>
  </si>
  <si>
    <t xml:space="preserve">The Trial Balance BBS Limited contained the following accounts at December 31, 2018, the end of company's fiscal year. </t>
  </si>
  <si>
    <t xml:space="preserve">Total </t>
  </si>
  <si>
    <t xml:space="preserve">Income Statement </t>
  </si>
  <si>
    <t xml:space="preserve">Balance Sheet </t>
  </si>
  <si>
    <t>Assets</t>
  </si>
  <si>
    <t xml:space="preserve">Current Assets </t>
  </si>
  <si>
    <t>Total Current Asset</t>
  </si>
  <si>
    <t>Non-Current Assets</t>
  </si>
  <si>
    <t>Total Assets</t>
  </si>
  <si>
    <t>Liablilities and owner's Equity</t>
  </si>
  <si>
    <t>Current Liabilities</t>
  </si>
  <si>
    <t>Long Term Liabilities</t>
  </si>
  <si>
    <t>Total Liablities</t>
  </si>
  <si>
    <t>Total Liablities and Owner's Equity</t>
  </si>
  <si>
    <t>For the year ended December 31,2018</t>
  </si>
  <si>
    <t>December 31,2018</t>
  </si>
  <si>
    <t xml:space="preserve">BBS Company Limited </t>
  </si>
  <si>
    <t xml:space="preserve">Wages Expense </t>
  </si>
  <si>
    <t>Machinery</t>
  </si>
  <si>
    <t>Accumulated Depreciation (22,000+12,600)</t>
  </si>
  <si>
    <t>Less: Accumulated Depreciation (6000+4200)</t>
  </si>
  <si>
    <t>Gain on sale of the propertry</t>
  </si>
  <si>
    <t>Additional Paid in Capital</t>
  </si>
  <si>
    <t>Retained Earnings</t>
  </si>
  <si>
    <t>Balance, January 1,2018</t>
  </si>
  <si>
    <t xml:space="preserve">Less: Sales Returns and Allowances </t>
  </si>
  <si>
    <t xml:space="preserve">Net Sales </t>
  </si>
  <si>
    <t xml:space="preserve">Gross Profit </t>
  </si>
  <si>
    <t xml:space="preserve">Land </t>
  </si>
  <si>
    <t xml:space="preserve">Less: Operating Expense </t>
  </si>
  <si>
    <t xml:space="preserve">Total Operating Expenses </t>
  </si>
  <si>
    <t>Income from Operation/Operating Income</t>
  </si>
  <si>
    <t xml:space="preserve">Add: Other Income </t>
  </si>
  <si>
    <t>Gain on sale of propertry</t>
  </si>
  <si>
    <t xml:space="preserve">Less: Other Expenses </t>
  </si>
  <si>
    <t>Less: Interest Expense (100,000*8%)</t>
  </si>
  <si>
    <t>Earnings before interest and taxes (EBIT)</t>
  </si>
  <si>
    <t xml:space="preserve">Earnings before taxes </t>
  </si>
  <si>
    <t xml:space="preserve">Net Income </t>
  </si>
  <si>
    <t xml:space="preserve">Taxes Payable </t>
  </si>
  <si>
    <t>Supplies Expense (6200-2000)</t>
  </si>
  <si>
    <t xml:space="preserve">Total Non-Current Assets </t>
  </si>
  <si>
    <t xml:space="preserve">Total Long Term Liabilities </t>
  </si>
  <si>
    <t>Shareholders' Equity</t>
  </si>
  <si>
    <t>Add: Net Income of the year 2018</t>
  </si>
  <si>
    <t xml:space="preserve">Less: Cash Dividend </t>
  </si>
  <si>
    <t>Balance, December 31,2018</t>
  </si>
  <si>
    <t>Total Stockholders Equity</t>
  </si>
  <si>
    <t xml:space="preserve">Total Current Liabilities </t>
  </si>
  <si>
    <t>Depreciation Expense-Machinery</t>
  </si>
  <si>
    <t xml:space="preserve">Depreciation Expense-Equipment </t>
  </si>
  <si>
    <t>Interest Payable -Debenture</t>
  </si>
  <si>
    <t xml:space="preserve">Dividend Payable </t>
  </si>
  <si>
    <t>Accounts Receivable</t>
  </si>
  <si>
    <t xml:space="preserve">Less: Sales Discount </t>
  </si>
  <si>
    <t>XXX</t>
  </si>
  <si>
    <t xml:space="preserve">(XXX) </t>
  </si>
  <si>
    <t xml:space="preserve">Supplies Expense </t>
  </si>
  <si>
    <t>Etc………………………………………………………….</t>
  </si>
  <si>
    <t>(XXX)</t>
  </si>
  <si>
    <t xml:space="preserve">Interest Income </t>
  </si>
  <si>
    <t>Gain on sale of propertry etc…………..</t>
  </si>
  <si>
    <t xml:space="preserve">Loss on sale of property </t>
  </si>
  <si>
    <t>Less: Interest Expense</t>
  </si>
  <si>
    <t xml:space="preserve">Less: Taxes </t>
  </si>
  <si>
    <t>Earnings before taxes (EBT)</t>
  </si>
  <si>
    <t xml:space="preserve">Net Income/Earnings after Taxes (EAT) </t>
  </si>
  <si>
    <t>Etc………………………………</t>
  </si>
  <si>
    <t xml:space="preserve">Less: Accumulated Depreciation </t>
  </si>
  <si>
    <t xml:space="preserve">Buildings </t>
  </si>
  <si>
    <t>Patents</t>
  </si>
  <si>
    <t>Etc…………………………..</t>
  </si>
  <si>
    <t>Total Liablities and Stockhonders' Equity</t>
  </si>
  <si>
    <t xml:space="preserve">ABC Limited </t>
  </si>
  <si>
    <t xml:space="preserve">Additional Data: </t>
  </si>
  <si>
    <t xml:space="preserve">Paid in Capital: </t>
  </si>
  <si>
    <t xml:space="preserve">Preferred Stock </t>
  </si>
  <si>
    <t xml:space="preserve">Casualty Losses etc. </t>
  </si>
  <si>
    <t>Stockholders' Equity</t>
  </si>
  <si>
    <t xml:space="preserve">Additional Paid in Capital-Common Stock </t>
  </si>
  <si>
    <t xml:space="preserve">Additional Paid in Capital-Preferred Stock </t>
  </si>
  <si>
    <t xml:space="preserve">ABC Company Limited </t>
  </si>
  <si>
    <t>Sa</t>
  </si>
  <si>
    <t xml:space="preserve">Office Supplies </t>
  </si>
  <si>
    <t xml:space="preserve">Prepaid Insurance </t>
  </si>
  <si>
    <t xml:space="preserve">Office Equipment </t>
  </si>
  <si>
    <t xml:space="preserve">Store Equipment </t>
  </si>
  <si>
    <t xml:space="preserve">Accumulated Depreciation-Office Equipment </t>
  </si>
  <si>
    <t xml:space="preserve">Accumulated Depreciation-Store Equipment </t>
  </si>
  <si>
    <t xml:space="preserve">Additional Paid in Capital-Common Stock  </t>
  </si>
  <si>
    <t xml:space="preserve">Sales Salaries Expense </t>
  </si>
  <si>
    <t xml:space="preserve">Sales Discount </t>
  </si>
  <si>
    <t xml:space="preserve">Advertising Expense </t>
  </si>
  <si>
    <t xml:space="preserve">Office Salaries Expense </t>
  </si>
  <si>
    <t xml:space="preserve">Utlities Expense </t>
  </si>
  <si>
    <t xml:space="preserve">Loss on Sale of Office Equipment </t>
  </si>
  <si>
    <t xml:space="preserve">Interest Revenue </t>
  </si>
  <si>
    <t xml:space="preserve">Auditors Fees </t>
  </si>
  <si>
    <t xml:space="preserve">1. The company is under 32.5% tax bracket. </t>
  </si>
  <si>
    <t xml:space="preserve">10% Bonds </t>
  </si>
  <si>
    <t>2. The interest accrued on the Bond has not been paid yet.</t>
  </si>
  <si>
    <t xml:space="preserve">4. Depreciation @ 20% is to be charged on Office Equipment under reducing-balance method. However, for the Store Equipment straight line method is used where depreciation is charged @10%. </t>
  </si>
  <si>
    <t xml:space="preserve">5. The prepaid insurance was paid for 2 years on September 1, 2018. </t>
  </si>
  <si>
    <t>6. The physical inventory check reveals that Merhcandise Inventory actually at hand is  $ 175,000.</t>
  </si>
  <si>
    <t>Insurance Expense (12,000*4/24)</t>
  </si>
  <si>
    <t>Prepaid Insurance (12,000-2,000)</t>
  </si>
  <si>
    <t>(-) Accumulated Depreciation (49,500+65,700*20%)</t>
  </si>
  <si>
    <t>(-) Accumulated Depreciation (87,500+311,500*10%)</t>
  </si>
  <si>
    <t>Accounts Payable</t>
  </si>
  <si>
    <t>Balance January 1, 2018</t>
  </si>
  <si>
    <t xml:space="preserve">(-) Sales Return and Allowances </t>
  </si>
  <si>
    <t xml:space="preserve">(-) Sales Discount </t>
  </si>
  <si>
    <t>Cost of Goods Sold (1,926,000+5,000)</t>
  </si>
  <si>
    <t xml:space="preserve">Operating Expenses: </t>
  </si>
  <si>
    <t>Auditors Fee</t>
  </si>
  <si>
    <t>Less: Other Expense</t>
  </si>
  <si>
    <t xml:space="preserve">Loss on Sale of Property </t>
  </si>
  <si>
    <t>EBIT</t>
  </si>
  <si>
    <t xml:space="preserve">Operating Income </t>
  </si>
  <si>
    <t xml:space="preserve">Patent </t>
  </si>
  <si>
    <t>(-) Interest Expense (54,000*10%)</t>
  </si>
  <si>
    <t>EBT</t>
  </si>
  <si>
    <t>Interest Payable</t>
  </si>
  <si>
    <t xml:space="preserve">Tax Payable </t>
  </si>
  <si>
    <t>(+) Net Income of the year</t>
  </si>
  <si>
    <t>(-) Cash Dividend  (200,000*10%)</t>
  </si>
  <si>
    <t>(-) Tax Expense  (21910*32.5%)</t>
  </si>
  <si>
    <t>Common Stock (50,000 shares of $4 par)</t>
  </si>
  <si>
    <t xml:space="preserve">The ledger of EEE Limited contained the following account balances at December 31, 2018, the end of company's fiscal year. </t>
  </si>
  <si>
    <t xml:space="preserve">Inventory </t>
  </si>
  <si>
    <t xml:space="preserve">Prepaid Rent </t>
  </si>
  <si>
    <t xml:space="preserve">Accumulated Depreciation-Machinery </t>
  </si>
  <si>
    <t xml:space="preserve">Accumulated Depreciation-Equipment </t>
  </si>
  <si>
    <t>Land</t>
  </si>
  <si>
    <t>Common Stock ($ 2.5 par value)</t>
  </si>
  <si>
    <t xml:space="preserve">Loss from employee strike </t>
  </si>
  <si>
    <t>Rent Revenue</t>
  </si>
  <si>
    <t xml:space="preserve">Interest Expense </t>
  </si>
  <si>
    <t xml:space="preserve">3. The company is under 30% tax bracket. </t>
  </si>
  <si>
    <t>15% Debenture</t>
  </si>
  <si>
    <t xml:space="preserve">5. Supplies actually on hand is $ 200. </t>
  </si>
  <si>
    <t xml:space="preserve">Balances </t>
  </si>
  <si>
    <t xml:space="preserve">4. Machinery is being depreciated @20% under straight line method,Equipment is being depreciated @30% under reducing balance method. </t>
  </si>
  <si>
    <t xml:space="preserve">(-)Sales Returns and allowances </t>
  </si>
  <si>
    <t>(-) Cost of Goods Sold (385,200+800)</t>
  </si>
  <si>
    <t xml:space="preserve">Less: Operating Expenses </t>
  </si>
  <si>
    <t>Supplies Expense (1000-200)</t>
  </si>
  <si>
    <t xml:space="preserve">Other Administrative Expenses </t>
  </si>
  <si>
    <t>Depreciation Expense-Machinery (23040*20%)</t>
  </si>
  <si>
    <t xml:space="preserve">Depreciation Expense-Equipment (54,800*30%) </t>
  </si>
  <si>
    <t>Income from Operation</t>
  </si>
  <si>
    <t xml:space="preserve">Rent Revenue </t>
  </si>
  <si>
    <t>Earnings Before Interest and Tax (EBIT)</t>
  </si>
  <si>
    <t>Earnings Before Tax (EBT)</t>
  </si>
  <si>
    <t>Balance, January 1, 2018</t>
  </si>
  <si>
    <t xml:space="preserve">Current Assets: </t>
  </si>
  <si>
    <t xml:space="preserve">Non-Current Assets: </t>
  </si>
  <si>
    <t xml:space="preserve">Current Liabilities: </t>
  </si>
  <si>
    <t>Long Term Liabilities :</t>
  </si>
  <si>
    <t xml:space="preserve">Stock Capital: </t>
  </si>
  <si>
    <t xml:space="preserve">Additional Paid In Capital: </t>
  </si>
  <si>
    <t>Supplies</t>
  </si>
  <si>
    <t>(-) Accumulated Depreciation (9900+4608)</t>
  </si>
  <si>
    <t>(-) Accumulated Depreciation (7500+16440)</t>
  </si>
  <si>
    <t xml:space="preserve">15% Debenture </t>
  </si>
  <si>
    <t xml:space="preserve">Issuance of Common Stock </t>
  </si>
  <si>
    <t>Cash (7540+4500)</t>
  </si>
  <si>
    <t>(+) Net Income of 2018</t>
  </si>
  <si>
    <t xml:space="preserve">2. 10% cash Dividend has been declared on the common stock. </t>
  </si>
  <si>
    <t xml:space="preserve">1. The accountant has forgot to record the issue of 1,000 common share @ $4.5 each on December 21, 2018. </t>
  </si>
  <si>
    <t xml:space="preserve">Other Administrative Expense </t>
  </si>
  <si>
    <t>Stockholders Equity Section</t>
  </si>
  <si>
    <t>Liability Section</t>
  </si>
  <si>
    <t xml:space="preserve">6. Physical check on December 31, 2018 reveals that inventory actually on hand is $ 35,200. </t>
  </si>
  <si>
    <t>3. A 10% Cash dividend has been declared on the common stock.</t>
  </si>
  <si>
    <t xml:space="preserve">Depreciation Expense-Office Equipment (65,700*20%) </t>
  </si>
  <si>
    <t xml:space="preserve">Depreciation Expense-Store Equipment (311,500*10%) </t>
  </si>
  <si>
    <t>Common Stock</t>
  </si>
  <si>
    <t xml:space="preserve">Total Current Assets </t>
  </si>
  <si>
    <t xml:space="preserve">Total Assets </t>
  </si>
  <si>
    <t xml:space="preserve">Total Liabilities </t>
  </si>
  <si>
    <t xml:space="preserve">Total Stockholders Equity </t>
  </si>
  <si>
    <t>Paid in capital</t>
  </si>
  <si>
    <t>Additional Paid in Capital-Common Stock</t>
  </si>
  <si>
    <t xml:space="preserve">The Trial Balance ABC Limited contained the following accounts at December 31, 2018, the end of company's fiscal year. </t>
  </si>
  <si>
    <t xml:space="preserve">EEE Company Limited </t>
  </si>
  <si>
    <t xml:space="preserve">Total Current Liablities </t>
  </si>
  <si>
    <t xml:space="preserve">Total Long Term Liablities </t>
  </si>
  <si>
    <t>Total Non-Current Assets</t>
  </si>
  <si>
    <t>Total Liabilities and Stockholders Equity</t>
  </si>
  <si>
    <t xml:space="preserve">The ledger of Corcord PropertiesLimited contained the following account balances at December 31, 2021, the end of company's fiscal year. </t>
  </si>
  <si>
    <t>Common Stock (50,000 shares of $5 par)</t>
  </si>
  <si>
    <t>Particulars</t>
  </si>
  <si>
    <t xml:space="preserve">The ledger of New Hope Limited contained the following account balances at December 31, 2021, the end of company's fiscal year. </t>
  </si>
  <si>
    <t>Furniture</t>
  </si>
  <si>
    <t>Accumulated Depreciation-Furniture</t>
  </si>
  <si>
    <t>Common Stock (70,000 shares of $3 par)</t>
  </si>
  <si>
    <t xml:space="preserve">Gain on Sale of Office Equipment </t>
  </si>
  <si>
    <t xml:space="preserve">Sale Executives Salaries Expense </t>
  </si>
  <si>
    <t xml:space="preserve">Entertainment Expense </t>
  </si>
  <si>
    <t>1. A 20% Cash dividend has been declared on the common stock.</t>
  </si>
  <si>
    <t xml:space="preserve">2. Depreciation @ 25% is to be charged on Office Equipment under reducing-balance method. However, for the Furniture straight line method is used where depreciation is charged @15%. </t>
  </si>
  <si>
    <t xml:space="preserve">3. The prepaid insurance was paid for 1 years on September 1, 2021. </t>
  </si>
  <si>
    <t>4. The physical inventory check reveals that Merhcandise Inventory actually at hand is  $ 155,000.</t>
  </si>
  <si>
    <t xml:space="preserve">5. The company is under 35.5% tax bracket. </t>
  </si>
  <si>
    <t>6. The interest accrued on the Bond has not been paid yet.</t>
  </si>
  <si>
    <t xml:space="preserve">1. Store Equipment is being depreciated @20% under straight line method, Office Equipment is being depreciated @30% under reducing balance method. </t>
  </si>
  <si>
    <t xml:space="preserve">2. Supplies actually on hand is $ 800. </t>
  </si>
  <si>
    <t xml:space="preserve">3. Physical check on December 31, 2018 reveals that inventory actually on hand is $ 109,500. </t>
  </si>
  <si>
    <t xml:space="preserve">4. The accountant has forgot to record the issue of 1,000 common share @ $6 each on December 21, 2021. </t>
  </si>
  <si>
    <t xml:space="preserve">5. 20% cash Dividend has been declared on the common stock. </t>
  </si>
  <si>
    <t xml:space="preserve">6. The company is under 35% tax bracket. </t>
  </si>
  <si>
    <t>Less: Taxes (267800*42.5%)</t>
  </si>
  <si>
    <t>(-) Interest Expense (3300+1320)</t>
  </si>
  <si>
    <t>(-) Tax (8752*30%)</t>
  </si>
  <si>
    <t>(-) Cash Dividend Declared (42,500*0.10)</t>
  </si>
  <si>
    <t>cogs 5000</t>
  </si>
  <si>
    <t>inventory cr. 5000</t>
  </si>
  <si>
    <t>inventory dr. 5000</t>
  </si>
  <si>
    <t>if inventory is 185000</t>
  </si>
  <si>
    <t>cash 4500</t>
  </si>
  <si>
    <t>common stock 2500</t>
  </si>
  <si>
    <t>add com stock 2000</t>
  </si>
  <si>
    <t>(-) Cost of Goods Sold (2223000+1500)</t>
  </si>
  <si>
    <t>Sales Salaries Exp</t>
  </si>
  <si>
    <t>Supplies Expense (4000-800)</t>
  </si>
  <si>
    <t>Utilities Exp</t>
  </si>
  <si>
    <t xml:space="preserve">Depreciation Expense-Equipment (254,100*30%) </t>
  </si>
  <si>
    <t>(-) Interest Expense (3700)</t>
  </si>
  <si>
    <t>Net Loss</t>
  </si>
  <si>
    <t>(+) Net Income of 2018 (loss)</t>
  </si>
  <si>
    <t xml:space="preserve">Loss on sale of office equipment  </t>
  </si>
  <si>
    <t>Prepaid Insurance</t>
  </si>
  <si>
    <t>Store Equipment</t>
  </si>
  <si>
    <t>Depreciation Expense-Store Equipment (1152000*20%)</t>
  </si>
  <si>
    <t>(-) Accumulated Depreciation (40400+23040)</t>
  </si>
  <si>
    <t>(-) Accumulated Depreciation (65900+76230)</t>
  </si>
  <si>
    <t>Patent</t>
  </si>
  <si>
    <t xml:space="preserve">10% Bond </t>
  </si>
  <si>
    <t xml:space="preserve">The company is under 42.5% tax bracket. </t>
  </si>
  <si>
    <t xml:space="preserve">Statement of Stockholders's Equity </t>
  </si>
  <si>
    <t xml:space="preserve">Statement of Stockholder's Equity </t>
  </si>
  <si>
    <t>(-) Cash Dividend Declared (2,55000*0.20)</t>
  </si>
  <si>
    <t>(-) Tax (50570*35%)</t>
  </si>
  <si>
    <t>Cash (34200+6000)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</si>
</sst>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3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0" fillId="0" borderId="1" xfId="0" applyBorder="1" applyAlignment="1">
      <alignment horizontal="right"/>
    </xf>
    <xf numFmtId="164" fontId="0" fillId="0" borderId="0" xfId="0" applyNumberFormat="1"/>
    <xf numFmtId="3" fontId="0" fillId="0" borderId="3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6" xfId="0" applyNumberFormat="1" applyBorder="1"/>
    <xf numFmtId="3" fontId="0" fillId="0" borderId="0" xfId="0" applyNumberFormat="1"/>
    <xf numFmtId="3" fontId="0" fillId="0" borderId="7" xfId="0" applyNumberFormat="1" applyBorder="1"/>
    <xf numFmtId="3" fontId="0" fillId="0" borderId="8" xfId="0" applyNumberFormat="1" applyBorder="1"/>
    <xf numFmtId="3" fontId="0" fillId="0" borderId="9" xfId="0" applyNumberFormat="1" applyBorder="1"/>
    <xf numFmtId="3" fontId="0" fillId="0" borderId="10" xfId="0" applyNumberFormat="1" applyBorder="1"/>
    <xf numFmtId="3" fontId="4" fillId="0" borderId="3" xfId="0" applyNumberFormat="1" applyFont="1" applyBorder="1"/>
    <xf numFmtId="3" fontId="2" fillId="0" borderId="0" xfId="0" applyNumberFormat="1" applyFont="1"/>
    <xf numFmtId="3" fontId="4" fillId="0" borderId="7" xfId="0" applyNumberFormat="1" applyFont="1" applyBorder="1"/>
    <xf numFmtId="0" fontId="0" fillId="0" borderId="10" xfId="0" applyBorder="1"/>
    <xf numFmtId="3" fontId="2" fillId="0" borderId="7" xfId="0" applyNumberFormat="1" applyFont="1" applyBorder="1"/>
    <xf numFmtId="3" fontId="2" fillId="0" borderId="11" xfId="0" applyNumberFormat="1" applyFont="1" applyBorder="1"/>
    <xf numFmtId="3" fontId="2" fillId="0" borderId="10" xfId="0" applyNumberFormat="1" applyFont="1" applyBorder="1"/>
    <xf numFmtId="3" fontId="0" fillId="0" borderId="12" xfId="0" applyNumberFormat="1" applyBorder="1"/>
    <xf numFmtId="3" fontId="2" fillId="0" borderId="2" xfId="0" applyNumberFormat="1" applyFont="1" applyBorder="1"/>
    <xf numFmtId="3" fontId="0" fillId="0" borderId="13" xfId="0" applyNumberFormat="1" applyBorder="1"/>
    <xf numFmtId="3" fontId="0" fillId="0" borderId="14" xfId="0" applyNumberFormat="1" applyBorder="1"/>
    <xf numFmtId="3" fontId="2" fillId="0" borderId="14" xfId="0" applyNumberFormat="1" applyFont="1" applyBorder="1"/>
    <xf numFmtId="3" fontId="0" fillId="0" borderId="2" xfId="0" applyNumberFormat="1" applyBorder="1"/>
    <xf numFmtId="3" fontId="0" fillId="0" borderId="15" xfId="0" applyNumberFormat="1" applyBorder="1"/>
    <xf numFmtId="3" fontId="0" fillId="0" borderId="17" xfId="0" quotePrefix="1" applyNumberFormat="1" applyBorder="1" applyAlignment="1">
      <alignment horizontal="right"/>
    </xf>
    <xf numFmtId="0" fontId="0" fillId="0" borderId="8" xfId="0" applyBorder="1"/>
    <xf numFmtId="3" fontId="0" fillId="0" borderId="17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3" fontId="0" fillId="0" borderId="21" xfId="0" applyNumberFormat="1" applyBorder="1"/>
    <xf numFmtId="3" fontId="0" fillId="0" borderId="16" xfId="0" applyNumberFormat="1" applyBorder="1"/>
    <xf numFmtId="3" fontId="2" fillId="0" borderId="16" xfId="0" applyNumberFormat="1" applyFont="1" applyBorder="1"/>
    <xf numFmtId="0" fontId="2" fillId="0" borderId="16" xfId="0" applyFont="1" applyBorder="1"/>
    <xf numFmtId="3" fontId="0" fillId="0" borderId="22" xfId="0" applyNumberFormat="1" applyBorder="1"/>
    <xf numFmtId="3" fontId="2" fillId="0" borderId="12" xfId="0" applyNumberFormat="1" applyFont="1" applyBorder="1"/>
    <xf numFmtId="0" fontId="0" fillId="0" borderId="23" xfId="0" applyBorder="1"/>
    <xf numFmtId="0" fontId="0" fillId="0" borderId="7" xfId="0" applyBorder="1"/>
    <xf numFmtId="3" fontId="0" fillId="0" borderId="24" xfId="0" applyNumberFormat="1" applyBorder="1"/>
    <xf numFmtId="3" fontId="0" fillId="0" borderId="24" xfId="0" quotePrefix="1" applyNumberFormat="1" applyBorder="1" applyAlignment="1">
      <alignment horizontal="right"/>
    </xf>
    <xf numFmtId="3" fontId="2" fillId="0" borderId="18" xfId="0" applyNumberFormat="1" applyFont="1" applyBorder="1"/>
    <xf numFmtId="3" fontId="0" fillId="0" borderId="6" xfId="0" applyNumberFormat="1" applyBorder="1" applyAlignment="1">
      <alignment horizontal="right"/>
    </xf>
    <xf numFmtId="3" fontId="0" fillId="0" borderId="5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8" xfId="0" applyNumberFormat="1" applyBorder="1" applyAlignment="1">
      <alignment horizontal="right"/>
    </xf>
    <xf numFmtId="3" fontId="0" fillId="0" borderId="9" xfId="0" applyNumberFormat="1" applyBorder="1" applyAlignment="1">
      <alignment horizontal="right"/>
    </xf>
    <xf numFmtId="3" fontId="0" fillId="0" borderId="10" xfId="0" applyNumberFormat="1" applyBorder="1" applyAlignment="1">
      <alignment horizontal="right"/>
    </xf>
    <xf numFmtId="3" fontId="0" fillId="0" borderId="17" xfId="0" applyNumberFormat="1" applyBorder="1" applyAlignment="1">
      <alignment horizontal="right"/>
    </xf>
    <xf numFmtId="3" fontId="0" fillId="0" borderId="24" xfId="0" applyNumberFormat="1" applyBorder="1" applyAlignment="1">
      <alignment horizontal="right"/>
    </xf>
    <xf numFmtId="3" fontId="2" fillId="0" borderId="18" xfId="0" applyNumberFormat="1" applyFont="1" applyBorder="1" applyAlignment="1">
      <alignment horizontal="right"/>
    </xf>
    <xf numFmtId="3" fontId="2" fillId="0" borderId="11" xfId="0" applyNumberFormat="1" applyFont="1" applyBorder="1" applyAlignment="1">
      <alignment horizontal="right"/>
    </xf>
    <xf numFmtId="3" fontId="2" fillId="0" borderId="10" xfId="0" applyNumberFormat="1" applyFont="1" applyBorder="1" applyAlignment="1">
      <alignment horizontal="right"/>
    </xf>
    <xf numFmtId="3" fontId="0" fillId="0" borderId="16" xfId="0" applyNumberFormat="1" applyBorder="1" applyAlignment="1">
      <alignment horizontal="right"/>
    </xf>
    <xf numFmtId="0" fontId="0" fillId="0" borderId="10" xfId="0" applyBorder="1" applyAlignment="1">
      <alignment horizontal="right"/>
    </xf>
    <xf numFmtId="3" fontId="0" fillId="0" borderId="14" xfId="0" applyNumberFormat="1" applyBorder="1" applyAlignment="1">
      <alignment horizontal="right"/>
    </xf>
    <xf numFmtId="3" fontId="2" fillId="0" borderId="14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3" fontId="0" fillId="0" borderId="15" xfId="0" applyNumberFormat="1" applyBorder="1" applyAlignment="1">
      <alignment horizontal="right"/>
    </xf>
    <xf numFmtId="3" fontId="0" fillId="0" borderId="22" xfId="0" applyNumberFormat="1" applyBorder="1" applyAlignment="1">
      <alignment horizontal="right"/>
    </xf>
    <xf numFmtId="0" fontId="2" fillId="0" borderId="0" xfId="0" applyFont="1"/>
    <xf numFmtId="3" fontId="2" fillId="0" borderId="8" xfId="0" applyNumberFormat="1" applyFont="1" applyBorder="1"/>
    <xf numFmtId="3" fontId="2" fillId="0" borderId="11" xfId="0" quotePrefix="1" applyNumberFormat="1" applyFont="1" applyBorder="1" applyAlignment="1">
      <alignment horizontal="right"/>
    </xf>
    <xf numFmtId="164" fontId="0" fillId="0" borderId="0" xfId="1" applyNumberFormat="1" applyFont="1" applyBorder="1"/>
    <xf numFmtId="3" fontId="0" fillId="0" borderId="10" xfId="0" quotePrefix="1" applyNumberFormat="1" applyBorder="1" applyAlignment="1">
      <alignment horizontal="right"/>
    </xf>
    <xf numFmtId="3" fontId="0" fillId="0" borderId="9" xfId="0" quotePrefix="1" applyNumberFormat="1" applyBorder="1" applyAlignment="1">
      <alignment horizontal="right"/>
    </xf>
    <xf numFmtId="3" fontId="0" fillId="0" borderId="15" xfId="0" quotePrefix="1" applyNumberFormat="1" applyBorder="1" applyAlignment="1">
      <alignment horizontal="right"/>
    </xf>
    <xf numFmtId="3" fontId="2" fillId="0" borderId="19" xfId="0" applyNumberFormat="1" applyFont="1" applyBorder="1"/>
    <xf numFmtId="3" fontId="0" fillId="0" borderId="26" xfId="0" applyNumberFormat="1" applyBorder="1"/>
    <xf numFmtId="3" fontId="2" fillId="0" borderId="9" xfId="0" applyNumberFormat="1" applyFont="1" applyBorder="1"/>
    <xf numFmtId="3" fontId="2" fillId="0" borderId="0" xfId="0" applyNumberFormat="1" applyFont="1" applyAlignment="1">
      <alignment horizontal="center"/>
    </xf>
    <xf numFmtId="3" fontId="3" fillId="0" borderId="19" xfId="0" applyNumberFormat="1" applyFont="1" applyBorder="1" applyAlignment="1">
      <alignment horizontal="center"/>
    </xf>
    <xf numFmtId="3" fontId="2" fillId="0" borderId="20" xfId="0" applyNumberFormat="1" applyFont="1" applyBorder="1" applyAlignment="1">
      <alignment horizontal="center"/>
    </xf>
    <xf numFmtId="3" fontId="3" fillId="0" borderId="20" xfId="0" applyNumberFormat="1" applyFont="1" applyBorder="1" applyAlignment="1">
      <alignment horizontal="center"/>
    </xf>
    <xf numFmtId="3" fontId="3" fillId="0" borderId="21" xfId="0" applyNumberFormat="1" applyFont="1" applyBorder="1" applyAlignment="1">
      <alignment horizontal="center"/>
    </xf>
    <xf numFmtId="3" fontId="4" fillId="0" borderId="16" xfId="0" applyNumberFormat="1" applyFont="1" applyBorder="1"/>
    <xf numFmtId="3" fontId="2" fillId="0" borderId="25" xfId="0" applyNumberFormat="1" applyFont="1" applyBorder="1"/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0" fillId="2" borderId="0" xfId="0" applyFill="1"/>
    <xf numFmtId="0" fontId="0" fillId="2" borderId="1" xfId="0" applyFill="1" applyBorder="1"/>
    <xf numFmtId="164" fontId="0" fillId="2" borderId="1" xfId="1" applyNumberFormat="1" applyFont="1" applyFill="1" applyBorder="1"/>
    <xf numFmtId="164" fontId="0" fillId="2" borderId="0" xfId="1" applyNumberFormat="1" applyFont="1" applyFill="1" applyBorder="1"/>
    <xf numFmtId="0" fontId="0" fillId="2" borderId="1" xfId="0" applyFill="1" applyBorder="1" applyAlignment="1">
      <alignment horizontal="right"/>
    </xf>
    <xf numFmtId="0" fontId="2" fillId="2" borderId="1" xfId="0" applyFont="1" applyFill="1" applyBorder="1"/>
    <xf numFmtId="0" fontId="2" fillId="2" borderId="0" xfId="0" applyFont="1" applyFill="1"/>
    <xf numFmtId="164" fontId="0" fillId="2" borderId="0" xfId="0" applyNumberFormat="1" applyFill="1"/>
    <xf numFmtId="0" fontId="0" fillId="0" borderId="0" xfId="0" applyAlignment="1">
      <alignment wrapText="1"/>
    </xf>
    <xf numFmtId="3" fontId="5" fillId="0" borderId="7" xfId="0" applyNumberFormat="1" applyFont="1" applyBorder="1"/>
    <xf numFmtId="3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3" fontId="3" fillId="0" borderId="3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0"/>
  <sheetViews>
    <sheetView topLeftCell="A33" workbookViewId="0">
      <selection activeCell="B40" sqref="B40:H40"/>
    </sheetView>
  </sheetViews>
  <sheetFormatPr defaultRowHeight="14.5" x14ac:dyDescent="0.35"/>
  <cols>
    <col min="3" max="3" width="29.1796875" customWidth="1"/>
    <col min="4" max="4" width="11.81640625" customWidth="1"/>
    <col min="5" max="5" width="14.7265625" customWidth="1"/>
    <col min="6" max="6" width="16.81640625" customWidth="1"/>
    <col min="7" max="7" width="18.26953125" customWidth="1"/>
    <col min="8" max="8" width="14.54296875" customWidth="1"/>
  </cols>
  <sheetData>
    <row r="1" spans="2:7" x14ac:dyDescent="0.35">
      <c r="B1" s="92" t="s">
        <v>103</v>
      </c>
      <c r="C1" s="92"/>
      <c r="D1" s="92"/>
      <c r="E1" s="92"/>
      <c r="F1" s="92"/>
    </row>
    <row r="2" spans="2:7" x14ac:dyDescent="0.35">
      <c r="B2" s="92" t="s">
        <v>32</v>
      </c>
      <c r="C2" s="92"/>
      <c r="D2" s="92"/>
      <c r="E2" s="92"/>
      <c r="F2" s="92"/>
    </row>
    <row r="3" spans="2:7" ht="15" thickBot="1" x14ac:dyDescent="0.4">
      <c r="B3" s="93" t="s">
        <v>44</v>
      </c>
      <c r="C3" s="93"/>
      <c r="D3" s="93"/>
      <c r="E3" s="92"/>
      <c r="F3" s="92"/>
    </row>
    <row r="4" spans="2:7" x14ac:dyDescent="0.35">
      <c r="B4" s="5" t="s">
        <v>14</v>
      </c>
      <c r="C4" s="6"/>
      <c r="D4" s="6"/>
      <c r="E4" s="44" t="s">
        <v>85</v>
      </c>
      <c r="F4" s="45"/>
      <c r="G4" s="9"/>
    </row>
    <row r="5" spans="2:7" x14ac:dyDescent="0.35">
      <c r="B5" s="10" t="s">
        <v>55</v>
      </c>
      <c r="C5" s="9"/>
      <c r="D5" s="9"/>
      <c r="E5" s="49" t="s">
        <v>86</v>
      </c>
      <c r="F5" s="47"/>
      <c r="G5" s="9"/>
    </row>
    <row r="6" spans="2:7" x14ac:dyDescent="0.35">
      <c r="B6" s="10" t="s">
        <v>84</v>
      </c>
      <c r="C6" s="9"/>
      <c r="D6" s="9"/>
      <c r="E6" s="48" t="s">
        <v>86</v>
      </c>
      <c r="F6" s="47"/>
      <c r="G6" s="9"/>
    </row>
    <row r="7" spans="2:7" x14ac:dyDescent="0.35">
      <c r="B7" s="10" t="s">
        <v>56</v>
      </c>
      <c r="C7" s="15"/>
      <c r="D7" s="9"/>
      <c r="E7" s="49"/>
      <c r="F7" s="47" t="s">
        <v>85</v>
      </c>
      <c r="G7" s="9"/>
    </row>
    <row r="8" spans="2:7" x14ac:dyDescent="0.35">
      <c r="B8" s="10" t="s">
        <v>16</v>
      </c>
      <c r="C8" s="9"/>
      <c r="D8" s="9"/>
      <c r="E8" s="49"/>
      <c r="F8" s="28" t="s">
        <v>86</v>
      </c>
      <c r="G8" s="9"/>
    </row>
    <row r="9" spans="2:7" x14ac:dyDescent="0.35">
      <c r="B9" s="10"/>
      <c r="C9" s="15"/>
      <c r="D9" s="9" t="s">
        <v>57</v>
      </c>
      <c r="E9" s="13"/>
      <c r="F9" s="47" t="s">
        <v>85</v>
      </c>
      <c r="G9" s="9"/>
    </row>
    <row r="10" spans="2:7" x14ac:dyDescent="0.35">
      <c r="B10" s="16" t="s">
        <v>59</v>
      </c>
      <c r="C10" s="9"/>
      <c r="D10" s="9"/>
      <c r="E10" s="13"/>
      <c r="F10" s="11"/>
      <c r="G10" s="9"/>
    </row>
    <row r="11" spans="2:7" x14ac:dyDescent="0.35">
      <c r="B11" s="10" t="s">
        <v>17</v>
      </c>
      <c r="C11" s="9"/>
      <c r="D11" s="9"/>
      <c r="E11" s="49" t="s">
        <v>85</v>
      </c>
      <c r="F11" s="29"/>
      <c r="G11" s="9"/>
    </row>
    <row r="12" spans="2:7" x14ac:dyDescent="0.35">
      <c r="B12" s="10" t="s">
        <v>18</v>
      </c>
      <c r="C12" s="9"/>
      <c r="D12" s="9"/>
      <c r="E12" s="49" t="s">
        <v>85</v>
      </c>
      <c r="F12" s="29"/>
      <c r="G12" s="9"/>
    </row>
    <row r="13" spans="2:7" x14ac:dyDescent="0.35">
      <c r="B13" s="10" t="s">
        <v>19</v>
      </c>
      <c r="C13" s="9"/>
      <c r="D13" s="9"/>
      <c r="E13" s="49" t="s">
        <v>85</v>
      </c>
      <c r="F13" s="29"/>
      <c r="G13" s="9"/>
    </row>
    <row r="14" spans="2:7" x14ac:dyDescent="0.35">
      <c r="B14" s="10" t="s">
        <v>20</v>
      </c>
      <c r="C14" s="9"/>
      <c r="D14" s="9"/>
      <c r="E14" s="49" t="s">
        <v>85</v>
      </c>
      <c r="F14" s="29"/>
      <c r="G14" s="9"/>
    </row>
    <row r="15" spans="2:7" x14ac:dyDescent="0.35">
      <c r="B15" s="10" t="s">
        <v>47</v>
      </c>
      <c r="C15" s="9"/>
      <c r="D15" s="9"/>
      <c r="E15" s="49" t="s">
        <v>85</v>
      </c>
      <c r="F15" s="29"/>
      <c r="G15" s="9"/>
    </row>
    <row r="16" spans="2:7" x14ac:dyDescent="0.35">
      <c r="B16" s="10" t="s">
        <v>23</v>
      </c>
      <c r="C16" s="9"/>
      <c r="D16" s="9"/>
      <c r="E16" s="49" t="s">
        <v>85</v>
      </c>
      <c r="F16" s="29"/>
      <c r="G16" s="9"/>
    </row>
    <row r="17" spans="2:7" x14ac:dyDescent="0.35">
      <c r="B17" s="10" t="s">
        <v>21</v>
      </c>
      <c r="C17" s="9"/>
      <c r="D17" s="9"/>
      <c r="E17" s="49" t="s">
        <v>85</v>
      </c>
      <c r="F17" s="29"/>
      <c r="G17" s="9"/>
    </row>
    <row r="18" spans="2:7" x14ac:dyDescent="0.35">
      <c r="B18" s="10" t="s">
        <v>87</v>
      </c>
      <c r="C18" s="9"/>
      <c r="D18" s="9"/>
      <c r="E18" s="49" t="s">
        <v>85</v>
      </c>
      <c r="F18" s="29"/>
      <c r="G18" s="9"/>
    </row>
    <row r="19" spans="2:7" x14ac:dyDescent="0.35">
      <c r="B19" s="10" t="s">
        <v>25</v>
      </c>
      <c r="C19" s="9"/>
      <c r="D19" s="9"/>
      <c r="E19" s="49" t="s">
        <v>85</v>
      </c>
      <c r="F19" s="11"/>
      <c r="G19" s="9"/>
    </row>
    <row r="20" spans="2:7" x14ac:dyDescent="0.35">
      <c r="B20" s="10" t="s">
        <v>79</v>
      </c>
      <c r="C20" s="9"/>
      <c r="D20" s="9"/>
      <c r="E20" s="49" t="s">
        <v>85</v>
      </c>
      <c r="F20" s="11"/>
      <c r="G20" s="9"/>
    </row>
    <row r="21" spans="2:7" x14ac:dyDescent="0.35">
      <c r="B21" s="10" t="s">
        <v>80</v>
      </c>
      <c r="C21" s="9"/>
      <c r="D21" s="9"/>
      <c r="E21" s="48" t="s">
        <v>85</v>
      </c>
      <c r="F21" s="11"/>
      <c r="G21" s="9"/>
    </row>
    <row r="22" spans="2:7" x14ac:dyDescent="0.35">
      <c r="B22" s="10" t="s">
        <v>88</v>
      </c>
      <c r="C22" s="9"/>
      <c r="D22" s="9"/>
      <c r="E22" s="13"/>
      <c r="F22" s="11"/>
      <c r="G22" s="9"/>
    </row>
    <row r="23" spans="2:7" x14ac:dyDescent="0.35">
      <c r="B23" s="18" t="s">
        <v>60</v>
      </c>
      <c r="D23" s="9"/>
      <c r="E23" s="13"/>
      <c r="F23" s="50" t="s">
        <v>89</v>
      </c>
      <c r="G23" s="9"/>
    </row>
    <row r="24" spans="2:7" x14ac:dyDescent="0.35">
      <c r="B24" s="18"/>
      <c r="C24" s="15" t="s">
        <v>61</v>
      </c>
      <c r="D24" s="9"/>
      <c r="E24" s="13"/>
      <c r="F24" s="47" t="s">
        <v>85</v>
      </c>
      <c r="G24" s="9"/>
    </row>
    <row r="25" spans="2:7" x14ac:dyDescent="0.35">
      <c r="B25" s="16" t="s">
        <v>62</v>
      </c>
      <c r="C25" s="15"/>
      <c r="D25" s="9"/>
      <c r="E25" s="13"/>
      <c r="F25" s="47"/>
      <c r="G25" s="9"/>
    </row>
    <row r="26" spans="2:7" x14ac:dyDescent="0.35">
      <c r="B26" s="10" t="s">
        <v>90</v>
      </c>
      <c r="C26" s="15"/>
      <c r="D26" s="9"/>
      <c r="E26" s="49" t="s">
        <v>85</v>
      </c>
      <c r="F26" s="47"/>
      <c r="G26" s="9"/>
    </row>
    <row r="27" spans="2:7" x14ac:dyDescent="0.35">
      <c r="B27" s="39" t="s">
        <v>91</v>
      </c>
      <c r="C27" s="15"/>
      <c r="D27" s="9"/>
      <c r="E27" s="49" t="s">
        <v>85</v>
      </c>
      <c r="F27" s="47"/>
    </row>
    <row r="28" spans="2:7" x14ac:dyDescent="0.35">
      <c r="B28" s="16" t="s">
        <v>64</v>
      </c>
      <c r="C28" s="9"/>
      <c r="D28" s="9"/>
      <c r="E28" s="49"/>
      <c r="F28" s="47"/>
      <c r="G28" s="9"/>
    </row>
    <row r="29" spans="2:7" x14ac:dyDescent="0.35">
      <c r="B29" s="10" t="s">
        <v>92</v>
      </c>
      <c r="C29" s="9"/>
      <c r="D29" s="9"/>
      <c r="E29" s="49" t="s">
        <v>86</v>
      </c>
      <c r="F29" s="47"/>
      <c r="G29" s="9"/>
    </row>
    <row r="30" spans="2:7" x14ac:dyDescent="0.35">
      <c r="B30" s="10" t="s">
        <v>107</v>
      </c>
      <c r="C30" s="9"/>
      <c r="D30" s="9"/>
      <c r="E30" s="49" t="s">
        <v>86</v>
      </c>
      <c r="F30" s="47"/>
      <c r="G30" s="9"/>
    </row>
    <row r="31" spans="2:7" x14ac:dyDescent="0.35">
      <c r="B31" s="16"/>
      <c r="C31" s="9"/>
      <c r="D31" s="9"/>
      <c r="E31" s="48"/>
      <c r="F31" s="50" t="s">
        <v>85</v>
      </c>
      <c r="G31" s="9"/>
    </row>
    <row r="32" spans="2:7" x14ac:dyDescent="0.35">
      <c r="B32" s="40"/>
      <c r="C32" s="15" t="s">
        <v>66</v>
      </c>
      <c r="D32" s="9"/>
      <c r="E32" s="49"/>
      <c r="F32" s="51" t="s">
        <v>85</v>
      </c>
      <c r="G32" s="9"/>
    </row>
    <row r="33" spans="2:11" x14ac:dyDescent="0.35">
      <c r="B33" s="10" t="s">
        <v>93</v>
      </c>
      <c r="C33" s="9"/>
      <c r="D33" s="9"/>
      <c r="E33" s="49"/>
      <c r="F33" s="28" t="s">
        <v>89</v>
      </c>
      <c r="G33" s="9"/>
    </row>
    <row r="34" spans="2:11" x14ac:dyDescent="0.35">
      <c r="B34" s="10"/>
      <c r="C34" s="15" t="s">
        <v>95</v>
      </c>
      <c r="D34" s="9"/>
      <c r="E34" s="49"/>
      <c r="F34" s="42" t="s">
        <v>85</v>
      </c>
      <c r="G34" s="9"/>
    </row>
    <row r="35" spans="2:11" x14ac:dyDescent="0.35">
      <c r="B35" s="10" t="s">
        <v>94</v>
      </c>
      <c r="C35" s="9"/>
      <c r="D35" s="9"/>
      <c r="E35" s="49"/>
      <c r="F35" s="28" t="s">
        <v>89</v>
      </c>
      <c r="G35" s="9"/>
    </row>
    <row r="36" spans="2:11" ht="15" thickBot="1" x14ac:dyDescent="0.4">
      <c r="B36" s="10"/>
      <c r="C36" s="15" t="s">
        <v>96</v>
      </c>
      <c r="D36" s="9"/>
      <c r="E36" s="49"/>
      <c r="F36" s="52" t="s">
        <v>85</v>
      </c>
      <c r="G36" s="9"/>
    </row>
    <row r="37" spans="2:11" ht="15.5" thickTop="1" thickBot="1" x14ac:dyDescent="0.4">
      <c r="B37" s="21"/>
      <c r="C37" s="26"/>
      <c r="D37" s="26"/>
      <c r="E37" s="24"/>
      <c r="F37" s="23"/>
      <c r="G37" s="9"/>
    </row>
    <row r="38" spans="2:11" x14ac:dyDescent="0.35">
      <c r="B38" s="94" t="s">
        <v>103</v>
      </c>
      <c r="C38" s="94"/>
      <c r="D38" s="94"/>
      <c r="E38" s="94"/>
      <c r="F38" s="94"/>
      <c r="G38" s="94"/>
      <c r="H38" s="94"/>
    </row>
    <row r="39" spans="2:11" x14ac:dyDescent="0.35">
      <c r="B39" s="94"/>
      <c r="C39" s="94"/>
      <c r="D39" s="94"/>
      <c r="E39" s="94"/>
      <c r="F39" s="94"/>
      <c r="G39" s="94"/>
      <c r="H39" s="94"/>
    </row>
    <row r="40" spans="2:11" x14ac:dyDescent="0.35">
      <c r="B40" s="94" t="s">
        <v>271</v>
      </c>
      <c r="C40" s="94"/>
      <c r="D40" s="94"/>
      <c r="E40" s="94"/>
      <c r="F40" s="94"/>
      <c r="G40" s="94"/>
      <c r="H40" s="94"/>
    </row>
    <row r="41" spans="2:11" ht="15" thickBot="1" x14ac:dyDescent="0.4">
      <c r="B41" s="91" t="s">
        <v>44</v>
      </c>
      <c r="C41" s="91"/>
      <c r="D41" s="91"/>
      <c r="E41" s="91"/>
      <c r="F41" s="91"/>
      <c r="G41" s="91"/>
      <c r="H41" s="91"/>
    </row>
    <row r="42" spans="2:11" ht="15" thickBot="1" x14ac:dyDescent="0.4">
      <c r="B42" s="31"/>
      <c r="C42" s="32"/>
      <c r="D42" s="33"/>
      <c r="E42" s="35" t="s">
        <v>11</v>
      </c>
      <c r="F42" s="35" t="s">
        <v>52</v>
      </c>
      <c r="G42" s="35" t="s">
        <v>53</v>
      </c>
      <c r="H42" s="36" t="s">
        <v>31</v>
      </c>
    </row>
    <row r="43" spans="2:11" x14ac:dyDescent="0.35">
      <c r="B43" s="18" t="s">
        <v>54</v>
      </c>
      <c r="C43" s="9"/>
      <c r="D43" s="11"/>
      <c r="E43" s="49" t="s">
        <v>85</v>
      </c>
      <c r="F43" s="49" t="s">
        <v>85</v>
      </c>
      <c r="G43" s="49" t="s">
        <v>85</v>
      </c>
      <c r="H43" s="49" t="s">
        <v>85</v>
      </c>
    </row>
    <row r="44" spans="2:11" x14ac:dyDescent="0.35">
      <c r="B44" s="18" t="s">
        <v>74</v>
      </c>
      <c r="C44" s="9"/>
      <c r="D44" s="11"/>
      <c r="E44" s="49"/>
      <c r="F44" s="49"/>
      <c r="G44" s="49" t="s">
        <v>85</v>
      </c>
      <c r="H44" s="49" t="s">
        <v>85</v>
      </c>
    </row>
    <row r="45" spans="2:11" x14ac:dyDescent="0.35">
      <c r="B45" s="18" t="s">
        <v>75</v>
      </c>
      <c r="C45" s="9"/>
      <c r="D45" s="11"/>
      <c r="E45" s="54"/>
      <c r="F45" s="49"/>
      <c r="G45" s="49" t="s">
        <v>86</v>
      </c>
      <c r="H45" s="49" t="s">
        <v>89</v>
      </c>
    </row>
    <row r="46" spans="2:11" ht="15" thickBot="1" x14ac:dyDescent="0.4">
      <c r="B46" s="10"/>
      <c r="C46" s="9"/>
      <c r="D46" s="11"/>
      <c r="E46" s="49"/>
      <c r="F46" s="49"/>
      <c r="G46" s="49"/>
      <c r="H46" s="49"/>
    </row>
    <row r="47" spans="2:11" ht="15" thickBot="1" x14ac:dyDescent="0.4">
      <c r="B47" s="38" t="s">
        <v>76</v>
      </c>
      <c r="C47" s="26"/>
      <c r="D47" s="23"/>
      <c r="E47" s="55" t="s">
        <v>85</v>
      </c>
      <c r="F47" s="55" t="s">
        <v>85</v>
      </c>
      <c r="G47" s="55" t="s">
        <v>85</v>
      </c>
      <c r="H47" s="55" t="s">
        <v>85</v>
      </c>
      <c r="K47" s="9"/>
    </row>
    <row r="48" spans="2:11" x14ac:dyDescent="0.35">
      <c r="B48" s="9"/>
      <c r="C48" s="9"/>
      <c r="D48" s="9"/>
      <c r="E48" s="9"/>
      <c r="F48" s="9"/>
      <c r="G48" s="9"/>
    </row>
    <row r="49" spans="2:12" x14ac:dyDescent="0.35">
      <c r="B49" s="9"/>
      <c r="C49" s="9"/>
      <c r="D49" s="9"/>
      <c r="E49" s="9"/>
      <c r="F49" s="9"/>
      <c r="G49" s="9"/>
    </row>
    <row r="50" spans="2:12" x14ac:dyDescent="0.35">
      <c r="B50" s="9"/>
      <c r="C50" s="9"/>
      <c r="D50" s="9"/>
      <c r="E50" s="9"/>
      <c r="F50" s="9"/>
      <c r="G50" s="9"/>
    </row>
    <row r="51" spans="2:12" x14ac:dyDescent="0.35">
      <c r="B51" s="92" t="s">
        <v>103</v>
      </c>
      <c r="C51" s="92"/>
      <c r="D51" s="92"/>
      <c r="E51" s="92"/>
      <c r="F51" s="92"/>
      <c r="G51" s="9"/>
      <c r="H51" s="9"/>
      <c r="I51" s="9"/>
      <c r="J51" s="9"/>
      <c r="K51" s="9"/>
      <c r="L51" s="9"/>
    </row>
    <row r="52" spans="2:12" x14ac:dyDescent="0.35">
      <c r="B52" s="92" t="s">
        <v>33</v>
      </c>
      <c r="C52" s="92"/>
      <c r="D52" s="92"/>
      <c r="E52" s="92"/>
      <c r="F52" s="92"/>
      <c r="G52" s="9"/>
      <c r="H52" s="9"/>
      <c r="I52" s="9"/>
      <c r="J52" s="9"/>
      <c r="K52" s="9"/>
      <c r="L52" s="9"/>
    </row>
    <row r="53" spans="2:12" ht="15" thickBot="1" x14ac:dyDescent="0.4">
      <c r="B53" s="93" t="s">
        <v>45</v>
      </c>
      <c r="C53" s="93"/>
      <c r="D53" s="93"/>
      <c r="E53" s="93"/>
      <c r="F53" s="93"/>
      <c r="G53" s="9"/>
      <c r="H53" s="9"/>
      <c r="I53" s="9"/>
      <c r="J53" s="9"/>
      <c r="K53" s="9"/>
      <c r="L53" s="9"/>
    </row>
    <row r="54" spans="2:12" ht="16" thickBot="1" x14ac:dyDescent="0.4">
      <c r="B54" s="95" t="s">
        <v>34</v>
      </c>
      <c r="C54" s="96"/>
      <c r="D54" s="96"/>
      <c r="E54" s="96"/>
      <c r="F54" s="97"/>
      <c r="G54" s="9"/>
      <c r="H54" s="9"/>
      <c r="I54" s="9"/>
      <c r="J54" s="9"/>
      <c r="K54" s="9"/>
      <c r="L54" s="9"/>
    </row>
    <row r="55" spans="2:12" x14ac:dyDescent="0.35">
      <c r="B55" s="14" t="s">
        <v>35</v>
      </c>
      <c r="C55" s="6"/>
      <c r="D55" s="6"/>
      <c r="E55" s="44"/>
      <c r="F55" s="44"/>
      <c r="G55" s="9"/>
      <c r="H55" s="9"/>
      <c r="I55" s="9"/>
      <c r="J55" s="9"/>
      <c r="K55" s="9"/>
      <c r="L55" s="9"/>
    </row>
    <row r="56" spans="2:12" x14ac:dyDescent="0.35">
      <c r="B56" s="10" t="s">
        <v>2</v>
      </c>
      <c r="C56" s="9"/>
      <c r="D56" s="9"/>
      <c r="E56" s="49" t="s">
        <v>85</v>
      </c>
      <c r="F56" s="49"/>
      <c r="G56" s="9"/>
      <c r="H56" s="9"/>
      <c r="I56" s="9"/>
      <c r="J56" s="9"/>
      <c r="K56" s="9"/>
      <c r="L56" s="9"/>
    </row>
    <row r="57" spans="2:12" x14ac:dyDescent="0.35">
      <c r="B57" s="10" t="s">
        <v>5</v>
      </c>
      <c r="C57" s="9"/>
      <c r="D57" s="9"/>
      <c r="E57" s="49" t="s">
        <v>85</v>
      </c>
      <c r="F57" s="49"/>
      <c r="G57" s="9"/>
      <c r="H57" s="9"/>
      <c r="I57" s="9"/>
      <c r="J57" s="9"/>
      <c r="K57" s="9"/>
      <c r="L57" s="9"/>
    </row>
    <row r="58" spans="2:12" x14ac:dyDescent="0.35">
      <c r="B58" s="10" t="s">
        <v>4</v>
      </c>
      <c r="C58" s="9"/>
      <c r="D58" s="9"/>
      <c r="E58" s="49" t="s">
        <v>85</v>
      </c>
      <c r="F58" s="49"/>
      <c r="G58" s="9"/>
      <c r="H58" s="9"/>
      <c r="I58" s="9"/>
      <c r="J58" s="9"/>
      <c r="K58" s="9"/>
      <c r="L58" s="9"/>
    </row>
    <row r="59" spans="2:12" x14ac:dyDescent="0.35">
      <c r="B59" s="10" t="s">
        <v>83</v>
      </c>
      <c r="C59" s="9"/>
      <c r="D59" s="9"/>
      <c r="E59" s="49" t="s">
        <v>85</v>
      </c>
      <c r="F59" s="49"/>
      <c r="G59" s="9"/>
      <c r="H59" s="9"/>
      <c r="I59" s="9"/>
      <c r="J59" s="9"/>
      <c r="K59" s="9"/>
      <c r="L59" s="9"/>
    </row>
    <row r="60" spans="2:12" x14ac:dyDescent="0.35">
      <c r="B60" s="10" t="s">
        <v>97</v>
      </c>
      <c r="C60" s="9"/>
      <c r="D60" s="9"/>
      <c r="E60" s="49"/>
      <c r="F60" s="49"/>
      <c r="G60" s="9"/>
      <c r="H60" s="9"/>
      <c r="I60" s="9"/>
      <c r="J60" s="9"/>
      <c r="K60" s="9"/>
      <c r="L60" s="9"/>
    </row>
    <row r="61" spans="2:12" x14ac:dyDescent="0.35">
      <c r="B61" s="10"/>
      <c r="C61" s="9"/>
      <c r="D61" s="9"/>
      <c r="E61" s="49"/>
      <c r="F61" s="49"/>
      <c r="G61" s="9"/>
      <c r="H61" s="9"/>
      <c r="I61" s="9"/>
      <c r="J61" s="9"/>
      <c r="K61" s="9"/>
      <c r="L61" s="9"/>
    </row>
    <row r="62" spans="2:12" x14ac:dyDescent="0.35">
      <c r="B62" s="10"/>
      <c r="C62" s="9"/>
      <c r="D62" s="9"/>
      <c r="E62" s="48"/>
      <c r="F62" s="49"/>
      <c r="G62" s="9"/>
      <c r="H62" s="9"/>
      <c r="I62" s="9"/>
      <c r="J62" s="9"/>
      <c r="K62" s="9"/>
      <c r="L62" s="9"/>
    </row>
    <row r="63" spans="2:12" x14ac:dyDescent="0.35">
      <c r="B63" s="10"/>
      <c r="C63" s="15" t="s">
        <v>36</v>
      </c>
      <c r="D63" s="9"/>
      <c r="E63" s="49"/>
      <c r="F63" s="49" t="s">
        <v>85</v>
      </c>
      <c r="G63" s="9"/>
      <c r="H63" s="9"/>
      <c r="I63" s="9"/>
      <c r="J63" s="9"/>
      <c r="K63" s="9"/>
      <c r="L63" s="9"/>
    </row>
    <row r="64" spans="2:12" x14ac:dyDescent="0.35">
      <c r="B64" s="10"/>
      <c r="C64" s="9"/>
      <c r="D64" s="9"/>
      <c r="E64" s="49"/>
      <c r="F64" s="49"/>
      <c r="G64" s="9"/>
      <c r="H64" s="9"/>
      <c r="I64" s="9"/>
      <c r="J64" s="9"/>
      <c r="K64" s="9"/>
      <c r="L64" s="9"/>
    </row>
    <row r="65" spans="2:12" x14ac:dyDescent="0.35">
      <c r="B65" s="10"/>
      <c r="C65" s="9"/>
      <c r="D65" s="9"/>
      <c r="E65" s="49"/>
      <c r="F65" s="49"/>
      <c r="G65" s="9"/>
      <c r="H65" s="9"/>
      <c r="I65" s="9"/>
      <c r="J65" s="9"/>
      <c r="K65" s="9"/>
      <c r="L65" s="9"/>
    </row>
    <row r="66" spans="2:12" x14ac:dyDescent="0.35">
      <c r="B66" s="16" t="s">
        <v>37</v>
      </c>
      <c r="C66" s="9"/>
      <c r="D66" s="9"/>
      <c r="E66" s="49"/>
      <c r="F66" s="49"/>
      <c r="G66" s="9"/>
      <c r="H66" s="9"/>
      <c r="I66" s="9"/>
      <c r="J66" s="9"/>
      <c r="K66" s="9"/>
      <c r="L66" s="9"/>
    </row>
    <row r="67" spans="2:12" x14ac:dyDescent="0.35">
      <c r="B67" s="10" t="s">
        <v>48</v>
      </c>
      <c r="C67" s="9"/>
      <c r="D67" s="46" t="s">
        <v>85</v>
      </c>
      <c r="E67" s="56"/>
      <c r="F67" s="49"/>
      <c r="G67" s="9"/>
      <c r="H67" s="9"/>
      <c r="I67" s="9"/>
      <c r="J67" s="9"/>
      <c r="K67" s="9"/>
      <c r="L67" s="9"/>
    </row>
    <row r="68" spans="2:12" x14ac:dyDescent="0.35">
      <c r="B68" s="10" t="s">
        <v>98</v>
      </c>
      <c r="C68" s="9"/>
      <c r="D68" s="61" t="s">
        <v>89</v>
      </c>
      <c r="E68" s="49" t="s">
        <v>85</v>
      </c>
      <c r="F68" s="49"/>
      <c r="G68" s="9"/>
      <c r="H68" s="9"/>
      <c r="I68" s="9"/>
      <c r="J68" s="9"/>
      <c r="K68" s="9"/>
      <c r="L68" s="9"/>
    </row>
    <row r="69" spans="2:12" x14ac:dyDescent="0.35">
      <c r="B69" s="10"/>
      <c r="C69" s="9"/>
      <c r="D69" s="46"/>
      <c r="E69" s="56"/>
      <c r="F69" s="49"/>
      <c r="G69" s="9"/>
      <c r="H69" s="9"/>
      <c r="I69" s="9"/>
      <c r="J69" s="9"/>
      <c r="K69" s="9"/>
      <c r="L69" s="9"/>
    </row>
    <row r="70" spans="2:12" x14ac:dyDescent="0.35">
      <c r="B70" s="10" t="s">
        <v>6</v>
      </c>
      <c r="C70" s="9"/>
      <c r="D70" s="46" t="s">
        <v>85</v>
      </c>
      <c r="E70" s="56"/>
      <c r="F70" s="49"/>
      <c r="G70" s="9"/>
      <c r="H70" s="9"/>
      <c r="I70" s="9"/>
      <c r="J70" s="9"/>
      <c r="K70" s="9"/>
      <c r="L70" s="9"/>
    </row>
    <row r="71" spans="2:12" x14ac:dyDescent="0.35">
      <c r="B71" s="10" t="s">
        <v>98</v>
      </c>
      <c r="C71" s="9"/>
      <c r="D71" s="61" t="s">
        <v>89</v>
      </c>
      <c r="E71" s="49" t="s">
        <v>85</v>
      </c>
      <c r="F71" s="49"/>
      <c r="G71" s="9"/>
      <c r="H71" s="9"/>
      <c r="I71" s="9"/>
      <c r="J71" s="9"/>
      <c r="K71" s="9"/>
      <c r="L71" s="9"/>
    </row>
    <row r="72" spans="2:12" x14ac:dyDescent="0.35">
      <c r="B72" s="10" t="s">
        <v>99</v>
      </c>
      <c r="C72" s="9"/>
      <c r="D72" s="46"/>
      <c r="E72" s="49"/>
      <c r="F72" s="49"/>
      <c r="G72" s="9"/>
      <c r="H72" s="9"/>
      <c r="I72" s="9"/>
      <c r="J72" s="9"/>
      <c r="K72" s="9"/>
      <c r="L72" s="9"/>
    </row>
    <row r="73" spans="2:12" x14ac:dyDescent="0.35">
      <c r="B73" s="10" t="s">
        <v>58</v>
      </c>
      <c r="C73" s="9"/>
      <c r="D73" s="46"/>
      <c r="E73" s="46" t="s">
        <v>85</v>
      </c>
      <c r="F73" s="47"/>
      <c r="G73" s="9"/>
      <c r="H73" s="9"/>
      <c r="I73" s="9"/>
      <c r="J73" s="9"/>
      <c r="K73" s="9"/>
      <c r="L73" s="9"/>
    </row>
    <row r="74" spans="2:12" x14ac:dyDescent="0.35">
      <c r="B74" s="10" t="s">
        <v>100</v>
      </c>
      <c r="C74" s="9"/>
      <c r="D74" s="46"/>
      <c r="E74" s="49" t="s">
        <v>85</v>
      </c>
      <c r="F74" s="49"/>
      <c r="G74" s="9"/>
      <c r="H74" s="9"/>
      <c r="I74" s="9"/>
      <c r="J74" s="9"/>
      <c r="K74" s="9"/>
      <c r="L74" s="9"/>
    </row>
    <row r="75" spans="2:12" x14ac:dyDescent="0.35">
      <c r="B75" s="10" t="s">
        <v>101</v>
      </c>
      <c r="C75" s="9"/>
      <c r="D75" s="9"/>
      <c r="E75" s="49" t="s">
        <v>85</v>
      </c>
      <c r="F75" s="49"/>
      <c r="G75" s="9"/>
      <c r="H75" s="9"/>
      <c r="I75" s="9"/>
      <c r="J75" s="9"/>
      <c r="K75" s="9"/>
      <c r="L75" s="9"/>
    </row>
    <row r="76" spans="2:12" x14ac:dyDescent="0.35">
      <c r="B76" s="10"/>
      <c r="C76" s="9" t="s">
        <v>71</v>
      </c>
      <c r="D76" s="9"/>
      <c r="E76" s="49"/>
      <c r="F76" s="49" t="s">
        <v>85</v>
      </c>
      <c r="G76" s="9"/>
      <c r="H76" s="9"/>
      <c r="I76" s="9"/>
      <c r="J76" s="9"/>
      <c r="K76" s="9"/>
      <c r="L76" s="9"/>
    </row>
    <row r="77" spans="2:12" x14ac:dyDescent="0.35">
      <c r="B77" s="10"/>
      <c r="C77" s="9"/>
      <c r="D77" s="9"/>
      <c r="E77" s="49"/>
      <c r="F77" s="49"/>
      <c r="G77" s="9"/>
      <c r="H77" s="9"/>
      <c r="I77" s="9"/>
      <c r="J77" s="9"/>
      <c r="K77" s="9"/>
      <c r="L77" s="9"/>
    </row>
    <row r="78" spans="2:12" ht="15" thickBot="1" x14ac:dyDescent="0.4">
      <c r="B78" s="10"/>
      <c r="C78" s="9"/>
      <c r="D78" s="15" t="s">
        <v>38</v>
      </c>
      <c r="E78" s="49"/>
      <c r="F78" s="53" t="s">
        <v>85</v>
      </c>
      <c r="G78" s="9"/>
      <c r="H78" s="9"/>
      <c r="I78" s="9"/>
      <c r="J78" s="9"/>
      <c r="K78" s="9"/>
      <c r="L78" s="9"/>
    </row>
    <row r="79" spans="2:12" ht="15" thickTop="1" x14ac:dyDescent="0.35">
      <c r="B79" s="10"/>
      <c r="C79" s="15"/>
      <c r="D79" s="9"/>
      <c r="E79" s="49"/>
      <c r="F79" s="54"/>
      <c r="G79" s="9"/>
      <c r="H79" s="9"/>
      <c r="I79" s="9"/>
      <c r="J79" s="9"/>
      <c r="K79" s="9"/>
      <c r="L79" s="9"/>
    </row>
    <row r="80" spans="2:12" ht="15" thickBot="1" x14ac:dyDescent="0.4">
      <c r="B80" s="21"/>
      <c r="C80" s="22"/>
      <c r="D80" s="26"/>
      <c r="E80" s="57"/>
      <c r="F80" s="58"/>
      <c r="G80" s="9"/>
      <c r="H80" s="9"/>
      <c r="I80" s="9"/>
      <c r="J80" s="9"/>
      <c r="K80" s="9"/>
      <c r="L80" s="9"/>
    </row>
    <row r="81" spans="2:12" ht="16" thickBot="1" x14ac:dyDescent="0.4">
      <c r="B81" s="98" t="s">
        <v>39</v>
      </c>
      <c r="C81" s="99"/>
      <c r="D81" s="99"/>
      <c r="E81" s="99"/>
      <c r="F81" s="100"/>
      <c r="G81" s="9"/>
      <c r="H81" s="9"/>
      <c r="I81" s="9"/>
      <c r="J81" s="9"/>
      <c r="K81" s="9"/>
      <c r="L81" s="9"/>
    </row>
    <row r="82" spans="2:12" x14ac:dyDescent="0.35">
      <c r="B82" s="14" t="s">
        <v>40</v>
      </c>
      <c r="C82" s="6"/>
      <c r="D82" s="7"/>
      <c r="E82" s="44"/>
      <c r="F82" s="44"/>
      <c r="G82" s="9"/>
      <c r="H82" s="9"/>
      <c r="I82" s="9"/>
      <c r="J82" s="9"/>
      <c r="K82" s="9"/>
      <c r="L82" s="9"/>
    </row>
    <row r="83" spans="2:12" x14ac:dyDescent="0.35">
      <c r="B83" s="10" t="s">
        <v>8</v>
      </c>
      <c r="C83" s="9"/>
      <c r="D83" s="11"/>
      <c r="E83" s="49" t="s">
        <v>85</v>
      </c>
      <c r="F83" s="49"/>
      <c r="G83" s="9"/>
      <c r="H83" s="9"/>
      <c r="I83" s="9"/>
      <c r="J83" s="9"/>
      <c r="K83" s="9"/>
      <c r="L83" s="9"/>
    </row>
    <row r="84" spans="2:12" x14ac:dyDescent="0.35">
      <c r="B84" s="10" t="s">
        <v>81</v>
      </c>
      <c r="C84" s="9"/>
      <c r="D84" s="11"/>
      <c r="E84" s="49" t="s">
        <v>85</v>
      </c>
      <c r="F84" s="49"/>
      <c r="G84" s="9"/>
      <c r="H84" s="9"/>
      <c r="I84" s="9"/>
      <c r="J84" s="9"/>
      <c r="K84" s="9"/>
      <c r="L84" s="9"/>
    </row>
    <row r="85" spans="2:12" x14ac:dyDescent="0.35">
      <c r="B85" s="10" t="s">
        <v>69</v>
      </c>
      <c r="C85" s="9"/>
      <c r="D85" s="11"/>
      <c r="E85" s="48" t="s">
        <v>85</v>
      </c>
      <c r="F85" s="49"/>
      <c r="G85" s="9"/>
      <c r="H85" s="9"/>
      <c r="I85" s="9"/>
      <c r="J85" s="9"/>
      <c r="K85" s="9"/>
      <c r="L85" s="9"/>
    </row>
    <row r="86" spans="2:12" x14ac:dyDescent="0.35">
      <c r="B86" s="10" t="s">
        <v>82</v>
      </c>
      <c r="C86" s="9"/>
      <c r="D86" s="11"/>
      <c r="E86" s="49" t="s">
        <v>85</v>
      </c>
      <c r="F86" s="49"/>
      <c r="G86" s="9"/>
      <c r="H86" s="9"/>
      <c r="I86" s="9"/>
      <c r="J86" s="9"/>
      <c r="K86" s="9"/>
      <c r="L86" s="9"/>
    </row>
    <row r="87" spans="2:12" x14ac:dyDescent="0.35">
      <c r="B87" s="18" t="s">
        <v>78</v>
      </c>
      <c r="C87" s="15"/>
      <c r="D87" s="11"/>
      <c r="E87" s="49"/>
      <c r="F87" s="49" t="s">
        <v>85</v>
      </c>
      <c r="G87" s="9"/>
      <c r="H87" s="9"/>
      <c r="I87" s="9"/>
      <c r="J87" s="9"/>
      <c r="K87" s="9"/>
      <c r="L87" s="9"/>
    </row>
    <row r="88" spans="2:12" x14ac:dyDescent="0.35">
      <c r="B88" s="10"/>
      <c r="C88" s="15"/>
      <c r="D88" s="11"/>
      <c r="E88" s="49"/>
      <c r="F88" s="49"/>
      <c r="G88" s="9"/>
      <c r="H88" s="9"/>
      <c r="I88" s="9"/>
      <c r="J88" s="9"/>
      <c r="K88" s="9"/>
      <c r="L88" s="9"/>
    </row>
    <row r="89" spans="2:12" x14ac:dyDescent="0.35">
      <c r="B89" s="10"/>
      <c r="C89" s="9"/>
      <c r="D89" s="11"/>
      <c r="E89" s="49"/>
      <c r="F89" s="49"/>
      <c r="G89" s="9"/>
      <c r="H89" s="9"/>
      <c r="I89" s="9"/>
      <c r="J89" s="9"/>
      <c r="K89" s="9"/>
      <c r="L89" s="9"/>
    </row>
    <row r="90" spans="2:12" x14ac:dyDescent="0.35">
      <c r="B90" s="10"/>
      <c r="C90" s="9"/>
      <c r="D90" s="11"/>
      <c r="E90" s="49"/>
      <c r="F90" s="49"/>
      <c r="G90" s="9"/>
      <c r="H90" s="9"/>
      <c r="I90" s="9"/>
      <c r="J90" s="9"/>
      <c r="K90" s="9"/>
      <c r="L90" s="9"/>
    </row>
    <row r="91" spans="2:12" x14ac:dyDescent="0.35">
      <c r="B91" s="16" t="s">
        <v>41</v>
      </c>
      <c r="C91" s="9"/>
      <c r="D91" s="11"/>
      <c r="E91" s="49"/>
      <c r="F91" s="49"/>
      <c r="G91" s="9"/>
      <c r="H91" s="9"/>
      <c r="I91" s="9"/>
      <c r="J91" s="9"/>
      <c r="K91" s="9"/>
      <c r="L91" s="9"/>
    </row>
    <row r="92" spans="2:12" x14ac:dyDescent="0.35">
      <c r="B92" s="10" t="s">
        <v>22</v>
      </c>
      <c r="C92" s="9"/>
      <c r="D92" s="11"/>
      <c r="E92" s="46" t="s">
        <v>85</v>
      </c>
      <c r="F92" s="49"/>
      <c r="G92" s="9"/>
      <c r="H92" s="9"/>
      <c r="I92" s="9"/>
      <c r="J92" s="9"/>
      <c r="K92" s="9"/>
      <c r="L92" s="9"/>
    </row>
    <row r="93" spans="2:12" x14ac:dyDescent="0.35">
      <c r="B93" s="16"/>
      <c r="C93" s="9"/>
      <c r="D93" s="11"/>
      <c r="E93" s="48"/>
      <c r="F93" s="49"/>
      <c r="G93" s="9"/>
      <c r="H93" s="9"/>
      <c r="I93" s="9"/>
      <c r="J93" s="9"/>
      <c r="K93" s="9"/>
      <c r="L93" s="9"/>
    </row>
    <row r="94" spans="2:12" x14ac:dyDescent="0.35">
      <c r="B94" s="15" t="s">
        <v>72</v>
      </c>
      <c r="D94" s="11"/>
      <c r="E94" s="46"/>
      <c r="F94" s="49" t="s">
        <v>85</v>
      </c>
      <c r="G94" s="9"/>
      <c r="H94" s="9"/>
      <c r="I94" s="9"/>
      <c r="J94" s="9"/>
      <c r="K94" s="9"/>
      <c r="L94" s="9"/>
    </row>
    <row r="95" spans="2:12" x14ac:dyDescent="0.35">
      <c r="B95" s="10"/>
      <c r="C95" s="9"/>
      <c r="D95" s="11"/>
      <c r="E95" s="59"/>
      <c r="F95" s="48"/>
      <c r="G95" s="9"/>
      <c r="H95" s="9"/>
      <c r="I95" s="9"/>
      <c r="J95" s="9"/>
      <c r="K95" s="9"/>
      <c r="L95" s="9"/>
    </row>
    <row r="96" spans="2:12" x14ac:dyDescent="0.35">
      <c r="B96" s="10"/>
      <c r="C96" s="15" t="s">
        <v>42</v>
      </c>
      <c r="D96" s="11"/>
      <c r="E96" s="49"/>
      <c r="F96" s="60" t="s">
        <v>85</v>
      </c>
      <c r="G96" s="9"/>
      <c r="H96" s="9"/>
      <c r="I96" s="9"/>
      <c r="J96" s="9"/>
      <c r="K96" s="9"/>
      <c r="L96" s="9"/>
    </row>
    <row r="97" spans="2:12" x14ac:dyDescent="0.35">
      <c r="B97" s="16" t="s">
        <v>108</v>
      </c>
      <c r="C97" s="9"/>
      <c r="D97" s="11"/>
      <c r="E97" s="49"/>
      <c r="F97" s="49"/>
      <c r="G97" s="9"/>
      <c r="H97" s="9"/>
      <c r="I97" s="9"/>
      <c r="J97" s="9"/>
      <c r="K97" s="9"/>
      <c r="L97" s="9"/>
    </row>
    <row r="98" spans="2:12" x14ac:dyDescent="0.35">
      <c r="B98" s="16" t="s">
        <v>105</v>
      </c>
      <c r="C98" s="9"/>
      <c r="D98" s="11"/>
      <c r="E98" s="49"/>
      <c r="F98" s="49"/>
      <c r="G98" s="9"/>
      <c r="H98" s="9"/>
      <c r="I98" s="9"/>
      <c r="J98" s="9"/>
      <c r="K98" s="9"/>
      <c r="L98" s="9"/>
    </row>
    <row r="99" spans="2:12" x14ac:dyDescent="0.35">
      <c r="B99" s="10" t="s">
        <v>106</v>
      </c>
      <c r="C99" s="9"/>
      <c r="D99" s="11"/>
      <c r="E99" s="49" t="str">
        <f>E47</f>
        <v>XXX</v>
      </c>
      <c r="F99" s="49"/>
      <c r="G99" s="9"/>
      <c r="H99" s="9"/>
      <c r="I99" s="9"/>
      <c r="J99" s="9"/>
      <c r="K99" s="9"/>
      <c r="L99" s="9"/>
    </row>
    <row r="100" spans="2:12" x14ac:dyDescent="0.35">
      <c r="B100" s="10" t="s">
        <v>11</v>
      </c>
      <c r="C100" s="9"/>
      <c r="D100" s="11"/>
      <c r="E100" s="49" t="s">
        <v>85</v>
      </c>
      <c r="F100" s="49"/>
      <c r="G100" s="9"/>
      <c r="H100" s="9"/>
      <c r="I100" s="9"/>
      <c r="J100" s="9"/>
      <c r="K100" s="9"/>
      <c r="L100" s="9"/>
    </row>
    <row r="101" spans="2:12" x14ac:dyDescent="0.35">
      <c r="B101" s="10" t="s">
        <v>110</v>
      </c>
      <c r="C101" s="9"/>
      <c r="D101" s="11"/>
      <c r="E101" s="49" t="s">
        <v>85</v>
      </c>
      <c r="F101" s="49"/>
      <c r="G101" s="9"/>
      <c r="H101" s="9"/>
      <c r="I101" s="9"/>
      <c r="J101" s="9"/>
      <c r="K101" s="9"/>
      <c r="L101" s="9"/>
    </row>
    <row r="102" spans="2:12" x14ac:dyDescent="0.35">
      <c r="B102" s="10" t="s">
        <v>109</v>
      </c>
      <c r="C102" s="9"/>
      <c r="D102" s="11"/>
      <c r="E102" s="49" t="str">
        <f>F47</f>
        <v>XXX</v>
      </c>
      <c r="F102" s="49"/>
      <c r="G102" s="9"/>
      <c r="H102" s="9"/>
      <c r="I102" s="9"/>
      <c r="J102" s="9"/>
      <c r="K102" s="9"/>
      <c r="L102" s="9"/>
    </row>
    <row r="103" spans="2:12" x14ac:dyDescent="0.35">
      <c r="B103" s="16" t="s">
        <v>13</v>
      </c>
      <c r="C103" s="9"/>
      <c r="D103" s="11"/>
      <c r="E103" s="48" t="str">
        <f>G47</f>
        <v>XXX</v>
      </c>
      <c r="F103" s="49"/>
      <c r="G103" s="9"/>
      <c r="H103" s="9"/>
      <c r="I103" s="9"/>
      <c r="J103" s="9"/>
      <c r="K103" s="9"/>
      <c r="L103" s="9"/>
    </row>
    <row r="104" spans="2:12" x14ac:dyDescent="0.35">
      <c r="B104" s="10"/>
      <c r="C104" s="15" t="s">
        <v>77</v>
      </c>
      <c r="D104" s="11"/>
      <c r="E104" s="49"/>
      <c r="F104" s="48" t="s">
        <v>85</v>
      </c>
      <c r="G104" s="9"/>
      <c r="H104" s="9"/>
      <c r="I104" s="9"/>
      <c r="J104" s="9"/>
      <c r="K104" s="9"/>
      <c r="L104" s="9"/>
    </row>
    <row r="105" spans="2:12" x14ac:dyDescent="0.35">
      <c r="B105" s="10"/>
      <c r="C105" s="9"/>
      <c r="D105" s="11"/>
      <c r="E105" s="49"/>
      <c r="F105" s="49"/>
      <c r="G105" s="9"/>
      <c r="H105" s="9"/>
      <c r="I105" s="9"/>
      <c r="J105" s="9"/>
      <c r="K105" s="9"/>
      <c r="L105" s="9"/>
    </row>
    <row r="106" spans="2:12" ht="15" thickBot="1" x14ac:dyDescent="0.4">
      <c r="B106" s="10"/>
      <c r="C106" s="15" t="s">
        <v>102</v>
      </c>
      <c r="D106" s="11"/>
      <c r="E106" s="49"/>
      <c r="F106" s="53" t="s">
        <v>85</v>
      </c>
      <c r="G106" s="9"/>
      <c r="H106" s="9"/>
      <c r="I106" s="9"/>
      <c r="J106" s="9"/>
      <c r="K106" s="9"/>
      <c r="L106" s="9"/>
    </row>
    <row r="107" spans="2:12" ht="15" thickTop="1" x14ac:dyDescent="0.35">
      <c r="B107" s="10"/>
      <c r="C107" s="9"/>
      <c r="D107" s="11"/>
      <c r="E107" s="13"/>
      <c r="F107" s="13"/>
    </row>
    <row r="108" spans="2:12" ht="15" thickBot="1" x14ac:dyDescent="0.4">
      <c r="B108" s="21"/>
      <c r="C108" s="26"/>
      <c r="D108" s="23"/>
      <c r="E108" s="24"/>
      <c r="F108" s="24"/>
    </row>
    <row r="109" spans="2:12" x14ac:dyDescent="0.35">
      <c r="B109" s="9"/>
      <c r="C109" s="9"/>
      <c r="D109" s="9"/>
      <c r="E109" s="9"/>
      <c r="F109" s="9"/>
    </row>
    <row r="110" spans="2:12" x14ac:dyDescent="0.35">
      <c r="B110" s="9"/>
      <c r="C110" s="9"/>
      <c r="D110" s="9"/>
      <c r="E110" s="9"/>
      <c r="F110" s="9"/>
    </row>
  </sheetData>
  <mergeCells count="11">
    <mergeCell ref="B51:F51"/>
    <mergeCell ref="B52:F52"/>
    <mergeCell ref="B53:F53"/>
    <mergeCell ref="B54:F54"/>
    <mergeCell ref="B81:F81"/>
    <mergeCell ref="B41:H41"/>
    <mergeCell ref="B1:F1"/>
    <mergeCell ref="B2:F2"/>
    <mergeCell ref="B3:F3"/>
    <mergeCell ref="B38:H39"/>
    <mergeCell ref="B40:H40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38"/>
  <sheetViews>
    <sheetView topLeftCell="A22" zoomScaleNormal="100" workbookViewId="0">
      <selection activeCell="C17" sqref="C17"/>
    </sheetView>
  </sheetViews>
  <sheetFormatPr defaultRowHeight="14.5" x14ac:dyDescent="0.35"/>
  <cols>
    <col min="3" max="3" width="39" customWidth="1"/>
    <col min="4" max="4" width="12.26953125" customWidth="1"/>
    <col min="5" max="5" width="12.54296875" customWidth="1"/>
  </cols>
  <sheetData>
    <row r="2" spans="2:5" x14ac:dyDescent="0.35">
      <c r="C2" t="s">
        <v>30</v>
      </c>
    </row>
    <row r="4" spans="2:5" x14ac:dyDescent="0.35">
      <c r="C4" s="1"/>
      <c r="D4" s="1" t="s">
        <v>0</v>
      </c>
      <c r="E4" s="1" t="s">
        <v>1</v>
      </c>
    </row>
    <row r="5" spans="2:5" x14ac:dyDescent="0.35">
      <c r="B5">
        <v>1</v>
      </c>
      <c r="C5" s="1" t="s">
        <v>2</v>
      </c>
      <c r="D5" s="2">
        <v>28700</v>
      </c>
      <c r="E5" s="2"/>
    </row>
    <row r="6" spans="2:5" x14ac:dyDescent="0.35">
      <c r="B6">
        <v>2</v>
      </c>
      <c r="C6" s="1" t="s">
        <v>3</v>
      </c>
      <c r="D6" s="2">
        <v>30700</v>
      </c>
      <c r="E6" s="2"/>
    </row>
    <row r="7" spans="2:5" x14ac:dyDescent="0.35">
      <c r="B7">
        <v>3</v>
      </c>
      <c r="C7" s="1" t="s">
        <v>58</v>
      </c>
      <c r="D7" s="2">
        <v>600000</v>
      </c>
      <c r="E7" s="2"/>
    </row>
    <row r="8" spans="2:5" x14ac:dyDescent="0.35">
      <c r="B8">
        <v>4</v>
      </c>
      <c r="C8" s="1" t="s">
        <v>4</v>
      </c>
      <c r="D8" s="2">
        <v>44700</v>
      </c>
      <c r="E8" s="2"/>
    </row>
    <row r="9" spans="2:5" x14ac:dyDescent="0.35">
      <c r="B9">
        <v>5</v>
      </c>
      <c r="C9" s="1" t="s">
        <v>5</v>
      </c>
      <c r="D9" s="2">
        <v>6200</v>
      </c>
      <c r="E9" s="2"/>
    </row>
    <row r="10" spans="2:5" x14ac:dyDescent="0.35">
      <c r="B10">
        <v>6</v>
      </c>
      <c r="C10" s="1" t="s">
        <v>9</v>
      </c>
      <c r="D10" s="2">
        <v>85000</v>
      </c>
      <c r="E10" s="2"/>
    </row>
    <row r="11" spans="2:5" x14ac:dyDescent="0.35">
      <c r="B11">
        <v>7</v>
      </c>
      <c r="C11" s="1" t="s">
        <v>10</v>
      </c>
      <c r="D11" s="2"/>
      <c r="E11" s="2">
        <v>22000</v>
      </c>
    </row>
    <row r="12" spans="2:5" x14ac:dyDescent="0.35">
      <c r="B12">
        <v>8</v>
      </c>
      <c r="C12" s="1" t="s">
        <v>6</v>
      </c>
      <c r="D12" s="2">
        <v>48000</v>
      </c>
      <c r="E12" s="2"/>
    </row>
    <row r="13" spans="2:5" x14ac:dyDescent="0.35">
      <c r="B13">
        <v>9</v>
      </c>
      <c r="C13" s="1" t="s">
        <v>7</v>
      </c>
      <c r="D13" s="2"/>
      <c r="E13" s="2">
        <v>6000</v>
      </c>
    </row>
    <row r="14" spans="2:5" x14ac:dyDescent="0.35">
      <c r="B14">
        <v>10</v>
      </c>
      <c r="C14" s="1" t="s">
        <v>51</v>
      </c>
      <c r="D14" s="2"/>
      <c r="E14" s="2">
        <v>51000</v>
      </c>
    </row>
    <row r="15" spans="2:5" x14ac:dyDescent="0.35">
      <c r="B15">
        <v>11</v>
      </c>
      <c r="C15" s="1" t="s">
        <v>22</v>
      </c>
      <c r="D15" s="2"/>
      <c r="E15" s="2">
        <v>100000</v>
      </c>
    </row>
    <row r="16" spans="2:5" x14ac:dyDescent="0.35">
      <c r="B16">
        <v>12</v>
      </c>
      <c r="C16" s="1" t="s">
        <v>8</v>
      </c>
      <c r="D16" s="2"/>
      <c r="E16" s="2">
        <v>48500</v>
      </c>
    </row>
    <row r="17" spans="2:9" x14ac:dyDescent="0.35">
      <c r="B17">
        <v>13</v>
      </c>
      <c r="C17" s="1" t="s">
        <v>27</v>
      </c>
      <c r="D17" s="2"/>
      <c r="E17" s="2">
        <v>100000</v>
      </c>
    </row>
    <row r="18" spans="2:9" x14ac:dyDescent="0.35">
      <c r="B18">
        <v>14</v>
      </c>
      <c r="C18" s="1" t="s">
        <v>12</v>
      </c>
      <c r="D18" s="2"/>
      <c r="E18" s="2">
        <v>220000</v>
      </c>
    </row>
    <row r="19" spans="2:9" x14ac:dyDescent="0.35">
      <c r="B19">
        <v>15</v>
      </c>
      <c r="C19" s="1" t="s">
        <v>13</v>
      </c>
      <c r="D19" s="2"/>
      <c r="E19" s="2">
        <v>50000</v>
      </c>
      <c r="I19" s="4">
        <f>E31-D31</f>
        <v>0</v>
      </c>
    </row>
    <row r="20" spans="2:9" x14ac:dyDescent="0.35">
      <c r="B20">
        <v>16</v>
      </c>
      <c r="C20" s="1" t="s">
        <v>14</v>
      </c>
      <c r="D20" s="2"/>
      <c r="E20" s="2">
        <v>1755200</v>
      </c>
    </row>
    <row r="21" spans="2:9" x14ac:dyDescent="0.35">
      <c r="B21">
        <v>17</v>
      </c>
      <c r="C21" s="1" t="s">
        <v>15</v>
      </c>
      <c r="D21" s="2">
        <v>8800</v>
      </c>
      <c r="E21" s="2"/>
    </row>
    <row r="22" spans="2:9" x14ac:dyDescent="0.35">
      <c r="B22">
        <v>18</v>
      </c>
      <c r="C22" s="1" t="s">
        <v>16</v>
      </c>
      <c r="D22" s="2">
        <v>897400</v>
      </c>
      <c r="E22" s="2"/>
    </row>
    <row r="23" spans="2:9" x14ac:dyDescent="0.35">
      <c r="B23">
        <v>19</v>
      </c>
      <c r="C23" s="1" t="s">
        <v>17</v>
      </c>
      <c r="D23" s="2">
        <v>24400</v>
      </c>
      <c r="E23" s="2"/>
    </row>
    <row r="24" spans="2:9" x14ac:dyDescent="0.35">
      <c r="B24">
        <v>20</v>
      </c>
      <c r="C24" s="1" t="s">
        <v>18</v>
      </c>
      <c r="D24" s="2">
        <v>14000</v>
      </c>
      <c r="E24" s="2"/>
    </row>
    <row r="25" spans="2:9" x14ac:dyDescent="0.35">
      <c r="B25">
        <v>21</v>
      </c>
      <c r="C25" s="1" t="s">
        <v>19</v>
      </c>
      <c r="D25" s="2">
        <v>12100</v>
      </c>
      <c r="E25" s="2"/>
    </row>
    <row r="26" spans="2:9" x14ac:dyDescent="0.35">
      <c r="B26">
        <v>22</v>
      </c>
      <c r="C26" s="1" t="s">
        <v>20</v>
      </c>
      <c r="D26" s="2">
        <v>24000</v>
      </c>
      <c r="E26" s="2"/>
    </row>
    <row r="27" spans="2:9" x14ac:dyDescent="0.35">
      <c r="B27">
        <v>23</v>
      </c>
      <c r="C27" s="1" t="s">
        <v>47</v>
      </c>
      <c r="D27" s="2">
        <v>16700</v>
      </c>
      <c r="E27" s="2"/>
    </row>
    <row r="28" spans="2:9" x14ac:dyDescent="0.35">
      <c r="B28">
        <v>24</v>
      </c>
      <c r="C28" s="1" t="s">
        <v>23</v>
      </c>
      <c r="D28" s="2">
        <v>2400</v>
      </c>
      <c r="E28" s="2"/>
    </row>
    <row r="29" spans="2:9" x14ac:dyDescent="0.35">
      <c r="B29">
        <v>25</v>
      </c>
      <c r="C29" s="1" t="s">
        <v>21</v>
      </c>
      <c r="D29" s="2">
        <v>207200</v>
      </c>
      <c r="E29" s="2"/>
    </row>
    <row r="30" spans="2:9" x14ac:dyDescent="0.35">
      <c r="B30">
        <v>26</v>
      </c>
      <c r="C30" s="1" t="s">
        <v>25</v>
      </c>
      <c r="D30" s="2">
        <v>302400</v>
      </c>
      <c r="E30" s="2"/>
    </row>
    <row r="31" spans="2:9" x14ac:dyDescent="0.35">
      <c r="C31" s="3" t="s">
        <v>31</v>
      </c>
      <c r="D31" s="2">
        <f>SUM(D5:D30)</f>
        <v>2352700</v>
      </c>
      <c r="E31" s="2">
        <f>SUM(E5:E30)</f>
        <v>2352700</v>
      </c>
      <c r="H31" s="4">
        <f>E31-D31</f>
        <v>0</v>
      </c>
    </row>
    <row r="33" spans="2:3" x14ac:dyDescent="0.35">
      <c r="C33" t="s">
        <v>104</v>
      </c>
    </row>
    <row r="34" spans="2:3" x14ac:dyDescent="0.35">
      <c r="B34">
        <v>1</v>
      </c>
      <c r="C34" t="s">
        <v>269</v>
      </c>
    </row>
    <row r="35" spans="2:3" x14ac:dyDescent="0.35">
      <c r="B35">
        <v>2</v>
      </c>
      <c r="C35" t="s">
        <v>24</v>
      </c>
    </row>
    <row r="36" spans="2:3" x14ac:dyDescent="0.35">
      <c r="B36">
        <v>3</v>
      </c>
      <c r="C36" t="s">
        <v>26</v>
      </c>
    </row>
    <row r="37" spans="2:3" x14ac:dyDescent="0.35">
      <c r="B37">
        <v>4</v>
      </c>
      <c r="C37" t="s">
        <v>28</v>
      </c>
    </row>
    <row r="38" spans="2:3" x14ac:dyDescent="0.35">
      <c r="B38">
        <v>5</v>
      </c>
      <c r="C38" t="s">
        <v>29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101"/>
  <sheetViews>
    <sheetView topLeftCell="A31" zoomScaleNormal="100" workbookViewId="0">
      <selection activeCell="E43" sqref="E43"/>
    </sheetView>
  </sheetViews>
  <sheetFormatPr defaultRowHeight="14.5" x14ac:dyDescent="0.35"/>
  <cols>
    <col min="3" max="3" width="29.1796875" customWidth="1"/>
    <col min="4" max="4" width="11.81640625" customWidth="1"/>
    <col min="5" max="5" width="14.7265625" customWidth="1"/>
    <col min="6" max="6" width="23.54296875" customWidth="1"/>
    <col min="7" max="7" width="18.26953125" customWidth="1"/>
    <col min="8" max="8" width="14.54296875" customWidth="1"/>
  </cols>
  <sheetData>
    <row r="1" spans="2:7" x14ac:dyDescent="0.35">
      <c r="B1" s="92" t="s">
        <v>46</v>
      </c>
      <c r="C1" s="92"/>
      <c r="D1" s="92"/>
      <c r="E1" s="92"/>
      <c r="F1" s="92"/>
    </row>
    <row r="2" spans="2:7" x14ac:dyDescent="0.35">
      <c r="B2" s="92" t="s">
        <v>32</v>
      </c>
      <c r="C2" s="92"/>
      <c r="D2" s="92"/>
      <c r="E2" s="92"/>
      <c r="F2" s="92"/>
    </row>
    <row r="3" spans="2:7" ht="15" thickBot="1" x14ac:dyDescent="0.4">
      <c r="B3" s="93" t="s">
        <v>44</v>
      </c>
      <c r="C3" s="93"/>
      <c r="D3" s="93"/>
      <c r="E3" s="92"/>
      <c r="F3" s="92"/>
    </row>
    <row r="4" spans="2:7" x14ac:dyDescent="0.35">
      <c r="B4" s="5" t="s">
        <v>14</v>
      </c>
      <c r="C4" s="6"/>
      <c r="D4" s="6"/>
      <c r="E4" s="8">
        <f>'Sample Question 1'!E20</f>
        <v>1755200</v>
      </c>
      <c r="F4" s="7"/>
      <c r="G4" s="9"/>
    </row>
    <row r="5" spans="2:7" x14ac:dyDescent="0.35">
      <c r="B5" s="10" t="s">
        <v>55</v>
      </c>
      <c r="C5" s="9"/>
      <c r="D5" s="9"/>
      <c r="E5" s="12">
        <f>'Sample Question 1'!D21</f>
        <v>8800</v>
      </c>
      <c r="F5" s="11"/>
      <c r="G5" s="9"/>
    </row>
    <row r="6" spans="2:7" x14ac:dyDescent="0.35">
      <c r="B6" s="10" t="s">
        <v>56</v>
      </c>
      <c r="C6" s="15"/>
      <c r="D6" s="9"/>
      <c r="E6" s="13"/>
      <c r="F6" s="11">
        <f>E4-E5</f>
        <v>1746400</v>
      </c>
      <c r="G6" s="9"/>
    </row>
    <row r="7" spans="2:7" x14ac:dyDescent="0.35">
      <c r="B7" s="10" t="s">
        <v>16</v>
      </c>
      <c r="C7" s="9"/>
      <c r="D7" s="9"/>
      <c r="E7" s="13"/>
      <c r="F7" s="28">
        <f>'Sample Question 1'!D22</f>
        <v>897400</v>
      </c>
      <c r="G7" s="9"/>
    </row>
    <row r="8" spans="2:7" x14ac:dyDescent="0.35">
      <c r="B8" s="10"/>
      <c r="C8" s="15"/>
      <c r="D8" s="9" t="s">
        <v>57</v>
      </c>
      <c r="E8" s="13"/>
      <c r="F8" s="11">
        <f>F6-F7</f>
        <v>849000</v>
      </c>
      <c r="G8" s="9"/>
    </row>
    <row r="9" spans="2:7" x14ac:dyDescent="0.35">
      <c r="B9" s="16" t="s">
        <v>59</v>
      </c>
      <c r="C9" s="9"/>
      <c r="D9" s="9"/>
      <c r="E9" s="13"/>
      <c r="F9" s="11"/>
      <c r="G9" s="9"/>
    </row>
    <row r="10" spans="2:7" x14ac:dyDescent="0.35">
      <c r="B10" s="10" t="s">
        <v>17</v>
      </c>
      <c r="C10" s="9"/>
      <c r="D10" s="9"/>
      <c r="E10" s="13">
        <v>24400</v>
      </c>
      <c r="F10" s="29"/>
      <c r="G10" s="9"/>
    </row>
    <row r="11" spans="2:7" x14ac:dyDescent="0.35">
      <c r="B11" s="10" t="s">
        <v>18</v>
      </c>
      <c r="C11" s="9"/>
      <c r="D11" s="9"/>
      <c r="E11" s="13">
        <v>14000</v>
      </c>
      <c r="F11" s="29"/>
      <c r="G11" s="9"/>
    </row>
    <row r="12" spans="2:7" x14ac:dyDescent="0.35">
      <c r="B12" s="10" t="s">
        <v>19</v>
      </c>
      <c r="C12" s="9"/>
      <c r="D12" s="9"/>
      <c r="E12" s="13">
        <v>12100</v>
      </c>
      <c r="F12" s="29"/>
      <c r="G12" s="9"/>
    </row>
    <row r="13" spans="2:7" x14ac:dyDescent="0.35">
      <c r="B13" s="10" t="s">
        <v>20</v>
      </c>
      <c r="C13" s="9"/>
      <c r="D13" s="9"/>
      <c r="E13" s="13">
        <v>24000</v>
      </c>
      <c r="F13" s="29"/>
      <c r="G13" s="9"/>
    </row>
    <row r="14" spans="2:7" x14ac:dyDescent="0.35">
      <c r="B14" s="10" t="s">
        <v>47</v>
      </c>
      <c r="C14" s="9"/>
      <c r="D14" s="9"/>
      <c r="E14" s="13">
        <v>16700</v>
      </c>
      <c r="F14" s="29"/>
      <c r="G14" s="9"/>
    </row>
    <row r="15" spans="2:7" x14ac:dyDescent="0.35">
      <c r="B15" s="10" t="s">
        <v>23</v>
      </c>
      <c r="C15" s="9"/>
      <c r="D15" s="9"/>
      <c r="E15" s="13">
        <v>2400</v>
      </c>
      <c r="F15" s="29"/>
      <c r="G15" s="9"/>
    </row>
    <row r="16" spans="2:7" x14ac:dyDescent="0.35">
      <c r="B16" s="10" t="s">
        <v>21</v>
      </c>
      <c r="C16" s="9"/>
      <c r="D16" s="9"/>
      <c r="E16" s="13">
        <v>207200</v>
      </c>
      <c r="F16" s="29"/>
      <c r="G16" s="9"/>
    </row>
    <row r="17" spans="2:7" x14ac:dyDescent="0.35">
      <c r="B17" s="10" t="s">
        <v>70</v>
      </c>
      <c r="C17" s="9"/>
      <c r="D17" s="9"/>
      <c r="E17" s="13">
        <f>6200-2000</f>
        <v>4200</v>
      </c>
      <c r="F17" s="29"/>
      <c r="G17" s="9"/>
    </row>
    <row r="18" spans="2:7" x14ac:dyDescent="0.35">
      <c r="B18" s="10" t="s">
        <v>25</v>
      </c>
      <c r="C18" s="9"/>
      <c r="D18" s="9"/>
      <c r="E18" s="13">
        <v>302400</v>
      </c>
      <c r="F18" s="11"/>
      <c r="G18" s="9"/>
    </row>
    <row r="19" spans="2:7" x14ac:dyDescent="0.35">
      <c r="B19" s="10" t="s">
        <v>79</v>
      </c>
      <c r="C19" s="9"/>
      <c r="D19" s="9"/>
      <c r="E19" s="13">
        <v>12600</v>
      </c>
      <c r="F19" s="11"/>
      <c r="G19" s="9"/>
    </row>
    <row r="20" spans="2:7" x14ac:dyDescent="0.35">
      <c r="B20" s="10" t="s">
        <v>80</v>
      </c>
      <c r="C20" s="9"/>
      <c r="D20" s="9"/>
      <c r="E20" s="12">
        <v>4200</v>
      </c>
      <c r="F20" s="11"/>
      <c r="G20" s="9"/>
    </row>
    <row r="21" spans="2:7" x14ac:dyDescent="0.35">
      <c r="B21" s="18" t="s">
        <v>60</v>
      </c>
      <c r="D21" s="9"/>
      <c r="E21" s="13"/>
      <c r="F21" s="30">
        <f>SUM(E10:E20)</f>
        <v>624200</v>
      </c>
      <c r="G21" s="9"/>
    </row>
    <row r="22" spans="2:7" x14ac:dyDescent="0.35">
      <c r="B22" s="18"/>
      <c r="C22" s="15" t="s">
        <v>61</v>
      </c>
      <c r="D22" s="9"/>
      <c r="E22" s="13"/>
      <c r="F22" s="11">
        <f>F8-F21</f>
        <v>224800</v>
      </c>
      <c r="G22" s="9"/>
    </row>
    <row r="23" spans="2:7" x14ac:dyDescent="0.35">
      <c r="B23" s="16" t="s">
        <v>62</v>
      </c>
      <c r="C23" s="15"/>
      <c r="D23" s="9"/>
      <c r="E23" s="13"/>
      <c r="F23" s="11"/>
      <c r="G23" s="9"/>
    </row>
    <row r="24" spans="2:7" x14ac:dyDescent="0.35">
      <c r="B24" s="39" t="s">
        <v>63</v>
      </c>
      <c r="C24" s="15"/>
      <c r="D24" s="9"/>
      <c r="E24" s="13">
        <f>'Sample Question 1'!E14</f>
        <v>51000</v>
      </c>
      <c r="F24" s="11"/>
    </row>
    <row r="25" spans="2:7" x14ac:dyDescent="0.35">
      <c r="B25" s="16" t="s">
        <v>64</v>
      </c>
      <c r="C25" s="9"/>
      <c r="D25" s="9"/>
      <c r="E25" s="13"/>
      <c r="F25" s="11"/>
      <c r="G25" s="9"/>
    </row>
    <row r="26" spans="2:7" x14ac:dyDescent="0.35">
      <c r="B26" s="16"/>
      <c r="C26" s="9"/>
      <c r="D26" s="9"/>
      <c r="E26" s="12"/>
      <c r="F26" s="30">
        <f>SUM(E24:E26)</f>
        <v>51000</v>
      </c>
      <c r="G26" s="9"/>
    </row>
    <row r="27" spans="2:7" x14ac:dyDescent="0.35">
      <c r="B27" s="40"/>
      <c r="C27" s="15" t="s">
        <v>66</v>
      </c>
      <c r="D27" s="9"/>
      <c r="E27" s="13"/>
      <c r="F27" s="41">
        <f>F22+F26</f>
        <v>275800</v>
      </c>
      <c r="G27" s="9"/>
    </row>
    <row r="28" spans="2:7" x14ac:dyDescent="0.35">
      <c r="B28" s="10" t="s">
        <v>65</v>
      </c>
      <c r="C28" s="9"/>
      <c r="D28" s="9"/>
      <c r="E28" s="13"/>
      <c r="F28" s="28">
        <v>8000</v>
      </c>
      <c r="G28" s="9"/>
    </row>
    <row r="29" spans="2:7" x14ac:dyDescent="0.35">
      <c r="B29" s="10"/>
      <c r="C29" s="15" t="s">
        <v>67</v>
      </c>
      <c r="D29" s="9"/>
      <c r="E29" s="13"/>
      <c r="F29" s="42">
        <f>F27-F28</f>
        <v>267800</v>
      </c>
      <c r="G29" s="9"/>
    </row>
    <row r="30" spans="2:7" x14ac:dyDescent="0.35">
      <c r="B30" s="10" t="s">
        <v>242</v>
      </c>
      <c r="C30" s="9"/>
      <c r="D30" s="9"/>
      <c r="E30" s="13"/>
      <c r="F30" s="28">
        <f>F29*0.425</f>
        <v>113815</v>
      </c>
      <c r="G30" s="9"/>
    </row>
    <row r="31" spans="2:7" ht="15" thickBot="1" x14ac:dyDescent="0.4">
      <c r="B31" s="10"/>
      <c r="C31" s="15" t="s">
        <v>68</v>
      </c>
      <c r="D31" s="9"/>
      <c r="E31" s="13"/>
      <c r="F31" s="43">
        <f>F29-F30</f>
        <v>153985</v>
      </c>
      <c r="G31" s="9"/>
    </row>
    <row r="32" spans="2:7" ht="15.5" thickTop="1" thickBot="1" x14ac:dyDescent="0.4">
      <c r="B32" s="21"/>
      <c r="C32" s="26"/>
      <c r="D32" s="26"/>
      <c r="E32" s="24"/>
      <c r="F32" s="23"/>
      <c r="G32" s="9"/>
    </row>
    <row r="33" spans="2:12" x14ac:dyDescent="0.35">
      <c r="B33" s="94" t="s">
        <v>46</v>
      </c>
      <c r="C33" s="94"/>
      <c r="D33" s="94"/>
      <c r="E33" s="94"/>
      <c r="F33" s="94"/>
      <c r="G33" s="94"/>
      <c r="H33" s="94"/>
    </row>
    <row r="34" spans="2:12" x14ac:dyDescent="0.35">
      <c r="B34" s="94"/>
      <c r="C34" s="94"/>
      <c r="D34" s="94"/>
      <c r="E34" s="94"/>
      <c r="F34" s="94"/>
      <c r="G34" s="94"/>
      <c r="H34" s="94"/>
    </row>
    <row r="35" spans="2:12" x14ac:dyDescent="0.35">
      <c r="B35" s="94" t="s">
        <v>271</v>
      </c>
      <c r="C35" s="94"/>
      <c r="D35" s="94"/>
      <c r="E35" s="94"/>
      <c r="F35" s="94"/>
      <c r="G35" s="94"/>
      <c r="H35" s="94"/>
    </row>
    <row r="36" spans="2:12" ht="15" thickBot="1" x14ac:dyDescent="0.4">
      <c r="B36" s="91" t="s">
        <v>44</v>
      </c>
      <c r="C36" s="91"/>
      <c r="D36" s="91"/>
      <c r="E36" s="91"/>
      <c r="F36" s="91"/>
      <c r="G36" s="91"/>
      <c r="H36" s="91"/>
    </row>
    <row r="37" spans="2:12" ht="15" thickBot="1" x14ac:dyDescent="0.4">
      <c r="B37" s="31"/>
      <c r="C37" s="32"/>
      <c r="D37" s="33"/>
      <c r="E37" s="35" t="s">
        <v>11</v>
      </c>
      <c r="F37" s="35" t="s">
        <v>52</v>
      </c>
      <c r="G37" s="35" t="s">
        <v>53</v>
      </c>
      <c r="H37" s="36" t="s">
        <v>31</v>
      </c>
    </row>
    <row r="38" spans="2:12" x14ac:dyDescent="0.35">
      <c r="B38" s="18" t="s">
        <v>54</v>
      </c>
      <c r="C38" s="9"/>
      <c r="D38" s="11"/>
      <c r="E38" s="13">
        <v>100000</v>
      </c>
      <c r="F38" s="13">
        <v>220000</v>
      </c>
      <c r="G38" s="13">
        <v>50000</v>
      </c>
      <c r="H38" s="13">
        <f>SUM(E38:G38)</f>
        <v>370000</v>
      </c>
    </row>
    <row r="39" spans="2:12" x14ac:dyDescent="0.35">
      <c r="B39" s="18" t="s">
        <v>74</v>
      </c>
      <c r="C39" s="9"/>
      <c r="D39" s="11"/>
      <c r="E39" s="13"/>
      <c r="F39" s="13"/>
      <c r="G39" s="13">
        <f>F31</f>
        <v>153985</v>
      </c>
      <c r="H39" s="13">
        <f t="shared" ref="H39:H40" si="0">SUM(E39:G39)</f>
        <v>153985</v>
      </c>
    </row>
    <row r="40" spans="2:12" x14ac:dyDescent="0.35">
      <c r="B40" s="18" t="s">
        <v>75</v>
      </c>
      <c r="C40" s="9"/>
      <c r="D40" s="11"/>
      <c r="E40" s="20"/>
      <c r="F40" s="13"/>
      <c r="G40" s="13">
        <v>-50000</v>
      </c>
      <c r="H40" s="13">
        <f t="shared" si="0"/>
        <v>-50000</v>
      </c>
    </row>
    <row r="41" spans="2:12" ht="15" thickBot="1" x14ac:dyDescent="0.4">
      <c r="B41" s="10"/>
      <c r="C41" s="9"/>
      <c r="D41" s="11"/>
      <c r="E41" s="13"/>
      <c r="F41" s="13"/>
      <c r="G41" s="13"/>
      <c r="H41" s="13"/>
    </row>
    <row r="42" spans="2:12" ht="15" thickBot="1" x14ac:dyDescent="0.4">
      <c r="B42" s="38" t="s">
        <v>76</v>
      </c>
      <c r="C42" s="26"/>
      <c r="D42" s="23"/>
      <c r="E42" s="34">
        <f>SUM(E38:E41)</f>
        <v>100000</v>
      </c>
      <c r="F42" s="34">
        <f t="shared" ref="F42:H42" si="1">SUM(F38:F41)</f>
        <v>220000</v>
      </c>
      <c r="G42" s="34">
        <f t="shared" si="1"/>
        <v>153985</v>
      </c>
      <c r="H42" s="34">
        <f t="shared" si="1"/>
        <v>473985</v>
      </c>
      <c r="K42" s="9"/>
    </row>
    <row r="43" spans="2:12" x14ac:dyDescent="0.35">
      <c r="B43" s="9"/>
      <c r="C43" s="9"/>
      <c r="D43" s="9"/>
      <c r="E43" s="9"/>
      <c r="F43" s="9"/>
      <c r="G43" s="9"/>
    </row>
    <row r="44" spans="2:12" x14ac:dyDescent="0.35">
      <c r="B44" s="9"/>
      <c r="C44" s="9"/>
      <c r="D44" s="9"/>
      <c r="E44" s="9"/>
      <c r="F44" s="9"/>
      <c r="G44" s="9"/>
    </row>
    <row r="45" spans="2:12" x14ac:dyDescent="0.35">
      <c r="B45" s="9"/>
      <c r="C45" s="9"/>
      <c r="D45" s="9"/>
      <c r="E45" s="9"/>
      <c r="F45" s="9"/>
      <c r="G45" s="9"/>
    </row>
    <row r="46" spans="2:12" x14ac:dyDescent="0.35">
      <c r="B46" s="92" t="s">
        <v>46</v>
      </c>
      <c r="C46" s="92"/>
      <c r="D46" s="92"/>
      <c r="E46" s="92"/>
      <c r="F46" s="92"/>
      <c r="G46" s="9"/>
      <c r="H46" s="9"/>
      <c r="I46" s="9"/>
      <c r="J46" s="9"/>
      <c r="K46" s="9"/>
      <c r="L46" s="9"/>
    </row>
    <row r="47" spans="2:12" x14ac:dyDescent="0.35">
      <c r="B47" s="92" t="s">
        <v>33</v>
      </c>
      <c r="C47" s="92"/>
      <c r="D47" s="92"/>
      <c r="E47" s="92"/>
      <c r="F47" s="92"/>
      <c r="G47" s="9"/>
      <c r="H47" s="9"/>
      <c r="I47" s="9"/>
      <c r="J47" s="9"/>
      <c r="K47" s="9"/>
      <c r="L47" s="9"/>
    </row>
    <row r="48" spans="2:12" ht="15" thickBot="1" x14ac:dyDescent="0.4">
      <c r="B48" s="93" t="s">
        <v>45</v>
      </c>
      <c r="C48" s="93"/>
      <c r="D48" s="93"/>
      <c r="E48" s="93"/>
      <c r="F48" s="93"/>
      <c r="G48" s="9"/>
      <c r="H48" s="9"/>
      <c r="I48" s="9"/>
      <c r="J48" s="9"/>
      <c r="K48" s="9"/>
      <c r="L48" s="9"/>
    </row>
    <row r="49" spans="2:12" ht="16" thickBot="1" x14ac:dyDescent="0.4">
      <c r="B49" s="95" t="s">
        <v>34</v>
      </c>
      <c r="C49" s="96"/>
      <c r="D49" s="96"/>
      <c r="E49" s="96"/>
      <c r="F49" s="97"/>
      <c r="G49" s="9"/>
      <c r="H49" s="9"/>
      <c r="I49" s="9"/>
      <c r="J49" s="9"/>
      <c r="K49" s="9"/>
      <c r="L49" s="9"/>
    </row>
    <row r="50" spans="2:12" x14ac:dyDescent="0.35">
      <c r="B50" s="14" t="s">
        <v>35</v>
      </c>
      <c r="C50" s="6"/>
      <c r="D50" s="6"/>
      <c r="E50" s="8"/>
      <c r="F50" s="8"/>
      <c r="G50" s="9"/>
      <c r="H50" s="9"/>
      <c r="I50" s="9"/>
      <c r="J50" s="9"/>
      <c r="K50" s="9"/>
      <c r="L50" s="9"/>
    </row>
    <row r="51" spans="2:12" x14ac:dyDescent="0.35">
      <c r="B51" s="10" t="s">
        <v>2</v>
      </c>
      <c r="C51" s="9"/>
      <c r="D51" s="9"/>
      <c r="E51" s="13">
        <v>28700</v>
      </c>
      <c r="F51" s="13"/>
      <c r="G51" s="9"/>
      <c r="H51" s="9"/>
      <c r="I51" s="9"/>
      <c r="J51" s="9"/>
      <c r="K51" s="9"/>
      <c r="L51" s="9"/>
    </row>
    <row r="52" spans="2:12" x14ac:dyDescent="0.35">
      <c r="B52" s="10" t="s">
        <v>5</v>
      </c>
      <c r="C52" s="9"/>
      <c r="D52" s="9"/>
      <c r="E52" s="13">
        <v>2000</v>
      </c>
      <c r="F52" s="13"/>
      <c r="G52" s="9"/>
      <c r="H52" s="9"/>
      <c r="I52" s="9"/>
      <c r="J52" s="9"/>
      <c r="K52" s="9"/>
      <c r="L52" s="9"/>
    </row>
    <row r="53" spans="2:12" x14ac:dyDescent="0.35">
      <c r="B53" s="10" t="s">
        <v>4</v>
      </c>
      <c r="C53" s="9"/>
      <c r="D53" s="9"/>
      <c r="E53" s="13">
        <v>44700</v>
      </c>
      <c r="F53" s="13"/>
      <c r="G53" s="9"/>
      <c r="H53" s="9"/>
      <c r="I53" s="9"/>
      <c r="J53" s="9"/>
      <c r="K53" s="9"/>
      <c r="L53" s="9"/>
    </row>
    <row r="54" spans="2:12" x14ac:dyDescent="0.35">
      <c r="B54" s="10" t="s">
        <v>83</v>
      </c>
      <c r="C54" s="9"/>
      <c r="D54" s="9"/>
      <c r="E54" s="13">
        <f>30700</f>
        <v>30700</v>
      </c>
      <c r="F54" s="13"/>
      <c r="G54" s="9"/>
      <c r="H54" s="9"/>
      <c r="I54" s="9"/>
      <c r="J54" s="9"/>
      <c r="K54" s="9"/>
      <c r="L54" s="9"/>
    </row>
    <row r="55" spans="2:12" x14ac:dyDescent="0.35">
      <c r="B55" s="10"/>
      <c r="C55" s="9"/>
      <c r="D55" s="9"/>
      <c r="E55" s="13"/>
      <c r="F55" s="13"/>
      <c r="G55" s="9"/>
      <c r="H55" s="9"/>
      <c r="I55" s="9"/>
      <c r="J55" s="9"/>
      <c r="K55" s="9"/>
      <c r="L55" s="9"/>
    </row>
    <row r="56" spans="2:12" x14ac:dyDescent="0.35">
      <c r="B56" s="10"/>
      <c r="C56" s="9"/>
      <c r="D56" s="9"/>
      <c r="E56" s="13"/>
      <c r="F56" s="13"/>
      <c r="G56" s="9"/>
      <c r="H56" s="9"/>
      <c r="I56" s="9"/>
      <c r="J56" s="9"/>
      <c r="K56" s="9"/>
      <c r="L56" s="9"/>
    </row>
    <row r="57" spans="2:12" x14ac:dyDescent="0.35">
      <c r="B57" s="10"/>
      <c r="C57" s="9"/>
      <c r="D57" s="9"/>
      <c r="E57" s="12"/>
      <c r="F57" s="13"/>
      <c r="G57" s="9"/>
      <c r="H57" s="9"/>
      <c r="I57" s="9"/>
      <c r="J57" s="9"/>
      <c r="K57" s="9"/>
      <c r="L57" s="9"/>
    </row>
    <row r="58" spans="2:12" x14ac:dyDescent="0.35">
      <c r="B58" s="10"/>
      <c r="C58" s="15" t="s">
        <v>36</v>
      </c>
      <c r="D58" s="9"/>
      <c r="E58" s="13"/>
      <c r="F58" s="13">
        <f>SUM(E51:E57)</f>
        <v>106100</v>
      </c>
      <c r="G58" s="9"/>
      <c r="H58" s="9"/>
      <c r="I58" s="9"/>
      <c r="J58" s="9"/>
      <c r="K58" s="9"/>
      <c r="L58" s="9"/>
    </row>
    <row r="59" spans="2:12" x14ac:dyDescent="0.35">
      <c r="B59" s="10"/>
      <c r="C59" s="9"/>
      <c r="D59" s="9"/>
      <c r="E59" s="13"/>
      <c r="F59" s="13"/>
      <c r="G59" s="9"/>
      <c r="H59" s="9"/>
      <c r="I59" s="9"/>
      <c r="J59" s="9"/>
      <c r="K59" s="9"/>
      <c r="L59" s="9"/>
    </row>
    <row r="60" spans="2:12" x14ac:dyDescent="0.35">
      <c r="B60" s="10"/>
      <c r="C60" s="9"/>
      <c r="D60" s="9"/>
      <c r="E60" s="13"/>
      <c r="F60" s="13"/>
      <c r="G60" s="9"/>
      <c r="H60" s="9"/>
      <c r="I60" s="9"/>
      <c r="J60" s="9"/>
      <c r="K60" s="9"/>
      <c r="L60" s="9"/>
    </row>
    <row r="61" spans="2:12" x14ac:dyDescent="0.35">
      <c r="B61" s="16" t="s">
        <v>37</v>
      </c>
      <c r="C61" s="9"/>
      <c r="D61" s="9"/>
      <c r="E61" s="13"/>
      <c r="F61" s="13"/>
      <c r="G61" s="9"/>
      <c r="H61" s="9"/>
      <c r="I61" s="9"/>
      <c r="J61" s="9"/>
      <c r="K61" s="9"/>
      <c r="L61" s="9"/>
    </row>
    <row r="62" spans="2:12" x14ac:dyDescent="0.35">
      <c r="B62" s="10" t="s">
        <v>48</v>
      </c>
      <c r="C62" s="9"/>
      <c r="D62" s="9">
        <v>85000</v>
      </c>
      <c r="E62" s="17"/>
      <c r="F62" s="13"/>
      <c r="G62" s="9"/>
      <c r="H62" s="9"/>
      <c r="I62" s="9"/>
      <c r="J62" s="9"/>
      <c r="K62" s="9"/>
      <c r="L62" s="9"/>
    </row>
    <row r="63" spans="2:12" x14ac:dyDescent="0.35">
      <c r="B63" s="10" t="s">
        <v>49</v>
      </c>
      <c r="C63" s="9"/>
      <c r="D63" s="37">
        <f>-(22000+12600)</f>
        <v>-34600</v>
      </c>
      <c r="E63" s="13">
        <f>D62+D63</f>
        <v>50400</v>
      </c>
      <c r="F63" s="13"/>
      <c r="G63" s="9"/>
      <c r="H63" s="9"/>
      <c r="I63" s="9"/>
      <c r="J63" s="9"/>
      <c r="K63" s="9"/>
      <c r="L63" s="9"/>
    </row>
    <row r="64" spans="2:12" x14ac:dyDescent="0.35">
      <c r="B64" s="10"/>
      <c r="C64" s="9"/>
      <c r="D64" s="9"/>
      <c r="E64" s="17"/>
      <c r="F64" s="13"/>
      <c r="G64" s="9"/>
      <c r="H64" s="9"/>
      <c r="I64" s="9"/>
      <c r="J64" s="9"/>
      <c r="K64" s="9"/>
      <c r="L64" s="9"/>
    </row>
    <row r="65" spans="2:12" x14ac:dyDescent="0.35">
      <c r="B65" s="10" t="s">
        <v>6</v>
      </c>
      <c r="C65" s="9"/>
      <c r="D65" s="9">
        <v>48000</v>
      </c>
      <c r="E65" s="17"/>
      <c r="F65" s="13"/>
      <c r="G65" s="9"/>
      <c r="H65" s="9"/>
      <c r="I65" s="9"/>
      <c r="J65" s="9"/>
      <c r="K65" s="9"/>
      <c r="L65" s="9"/>
    </row>
    <row r="66" spans="2:12" x14ac:dyDescent="0.35">
      <c r="B66" s="10" t="s">
        <v>50</v>
      </c>
      <c r="C66" s="9"/>
      <c r="D66" s="37">
        <v>-10200</v>
      </c>
      <c r="E66" s="13">
        <f>D65+D66</f>
        <v>37800</v>
      </c>
      <c r="F66" s="13"/>
      <c r="G66" s="9"/>
      <c r="H66" s="9"/>
      <c r="I66" s="9"/>
      <c r="J66" s="9"/>
      <c r="K66" s="9"/>
      <c r="L66" s="9"/>
    </row>
    <row r="67" spans="2:12" x14ac:dyDescent="0.35">
      <c r="B67" s="10"/>
      <c r="C67" s="9"/>
      <c r="D67" s="9"/>
      <c r="E67" s="13"/>
      <c r="F67" s="13"/>
      <c r="G67" s="9"/>
      <c r="H67" s="9"/>
      <c r="I67" s="9"/>
      <c r="J67" s="9"/>
      <c r="K67" s="9"/>
      <c r="L67" s="9"/>
    </row>
    <row r="68" spans="2:12" x14ac:dyDescent="0.35">
      <c r="B68" s="10" t="s">
        <v>58</v>
      </c>
      <c r="C68" s="9"/>
      <c r="D68" s="9"/>
      <c r="E68" s="12">
        <f>'Sample Question 1'!D7</f>
        <v>600000</v>
      </c>
      <c r="F68" s="13"/>
      <c r="G68" s="9"/>
      <c r="H68" s="9"/>
      <c r="I68" s="9"/>
      <c r="J68" s="9"/>
      <c r="K68" s="9"/>
      <c r="L68" s="9"/>
    </row>
    <row r="69" spans="2:12" x14ac:dyDescent="0.35">
      <c r="B69" s="10"/>
      <c r="C69" s="9" t="s">
        <v>71</v>
      </c>
      <c r="D69" s="9"/>
      <c r="E69" s="13"/>
      <c r="F69" s="13">
        <f>SUM(E63:E68)</f>
        <v>688200</v>
      </c>
      <c r="G69" s="9"/>
      <c r="H69" s="9"/>
      <c r="I69" s="9"/>
      <c r="J69" s="9"/>
      <c r="K69" s="9"/>
      <c r="L69" s="9"/>
    </row>
    <row r="70" spans="2:12" x14ac:dyDescent="0.35">
      <c r="B70" s="10"/>
      <c r="C70" s="9"/>
      <c r="D70" s="9"/>
      <c r="E70" s="13"/>
      <c r="F70" s="13"/>
      <c r="G70" s="9"/>
      <c r="H70" s="9"/>
      <c r="I70" s="9"/>
      <c r="J70" s="9"/>
      <c r="K70" s="9"/>
      <c r="L70" s="9"/>
    </row>
    <row r="71" spans="2:12" ht="15" thickBot="1" x14ac:dyDescent="0.4">
      <c r="B71" s="10"/>
      <c r="C71" s="9"/>
      <c r="D71" s="15" t="s">
        <v>38</v>
      </c>
      <c r="E71" s="13"/>
      <c r="F71" s="19">
        <f>SUM(F52:F70)</f>
        <v>794300</v>
      </c>
      <c r="G71" s="9"/>
      <c r="H71" s="9"/>
      <c r="I71" s="9"/>
      <c r="J71" s="9"/>
      <c r="K71" s="9"/>
      <c r="L71" s="9"/>
    </row>
    <row r="72" spans="2:12" ht="15" thickTop="1" x14ac:dyDescent="0.35">
      <c r="B72" s="10"/>
      <c r="C72" s="15"/>
      <c r="D72" s="9"/>
      <c r="E72" s="13"/>
      <c r="F72" s="20"/>
      <c r="G72" s="9"/>
      <c r="H72" s="9"/>
      <c r="I72" s="9"/>
      <c r="J72" s="9"/>
      <c r="K72" s="9"/>
      <c r="L72" s="9"/>
    </row>
    <row r="73" spans="2:12" ht="15" thickBot="1" x14ac:dyDescent="0.4">
      <c r="B73" s="21"/>
      <c r="C73" s="22"/>
      <c r="D73" s="26"/>
      <c r="E73" s="24"/>
      <c r="F73" s="25"/>
      <c r="G73" s="9"/>
      <c r="H73" s="9"/>
      <c r="I73" s="9"/>
      <c r="J73" s="9"/>
      <c r="K73" s="9"/>
      <c r="L73" s="9"/>
    </row>
    <row r="74" spans="2:12" ht="16" thickBot="1" x14ac:dyDescent="0.4">
      <c r="B74" s="98" t="s">
        <v>39</v>
      </c>
      <c r="C74" s="99"/>
      <c r="D74" s="99"/>
      <c r="E74" s="99"/>
      <c r="F74" s="100"/>
      <c r="G74" s="9"/>
      <c r="H74" s="9"/>
      <c r="I74" s="9"/>
      <c r="J74" s="9"/>
      <c r="K74" s="9"/>
      <c r="L74" s="9"/>
    </row>
    <row r="75" spans="2:12" x14ac:dyDescent="0.35">
      <c r="B75" s="14" t="s">
        <v>40</v>
      </c>
      <c r="C75" s="6"/>
      <c r="D75" s="7"/>
      <c r="E75" s="8"/>
      <c r="F75" s="8"/>
      <c r="G75" s="9"/>
      <c r="H75" s="9"/>
      <c r="I75" s="9"/>
      <c r="J75" s="9"/>
      <c r="K75" s="9"/>
      <c r="L75" s="9"/>
    </row>
    <row r="76" spans="2:12" x14ac:dyDescent="0.35">
      <c r="B76" s="10" t="s">
        <v>8</v>
      </c>
      <c r="C76" s="9"/>
      <c r="D76" s="11"/>
      <c r="E76" s="13">
        <v>48500</v>
      </c>
      <c r="F76" s="13"/>
      <c r="G76" s="9"/>
      <c r="H76" s="9"/>
      <c r="I76" s="9"/>
      <c r="J76" s="9"/>
      <c r="K76" s="9"/>
      <c r="L76" s="9"/>
    </row>
    <row r="77" spans="2:12" x14ac:dyDescent="0.35">
      <c r="B77" s="10" t="s">
        <v>81</v>
      </c>
      <c r="C77" s="9"/>
      <c r="D77" s="11"/>
      <c r="E77" s="13">
        <f>F28</f>
        <v>8000</v>
      </c>
      <c r="F77" s="13"/>
      <c r="G77" s="9"/>
      <c r="H77" s="9"/>
      <c r="I77" s="9"/>
      <c r="J77" s="9"/>
      <c r="K77" s="9"/>
      <c r="L77" s="9"/>
    </row>
    <row r="78" spans="2:12" x14ac:dyDescent="0.35">
      <c r="B78" s="10" t="s">
        <v>69</v>
      </c>
      <c r="C78" s="9"/>
      <c r="D78" s="11"/>
      <c r="E78" s="12">
        <f>F30</f>
        <v>113815</v>
      </c>
      <c r="F78" s="13"/>
      <c r="G78" s="9"/>
      <c r="H78" s="9"/>
      <c r="I78" s="9"/>
      <c r="J78" s="9"/>
      <c r="K78" s="9"/>
      <c r="L78" s="9"/>
    </row>
    <row r="79" spans="2:12" x14ac:dyDescent="0.35">
      <c r="B79" s="10" t="s">
        <v>82</v>
      </c>
      <c r="C79" s="9"/>
      <c r="D79" s="11"/>
      <c r="E79" s="13">
        <v>50000</v>
      </c>
      <c r="F79" s="13"/>
      <c r="G79" s="9"/>
      <c r="H79" s="9"/>
      <c r="I79" s="9"/>
      <c r="J79" s="9"/>
      <c r="K79" s="9"/>
      <c r="L79" s="9"/>
    </row>
    <row r="80" spans="2:12" x14ac:dyDescent="0.35">
      <c r="B80" s="18" t="s">
        <v>78</v>
      </c>
      <c r="C80" s="15"/>
      <c r="D80" s="11"/>
      <c r="E80" s="13"/>
      <c r="F80" s="13">
        <f>SUM(E76:E79)</f>
        <v>220315</v>
      </c>
      <c r="G80" s="9"/>
      <c r="H80" s="9"/>
      <c r="I80" s="9"/>
      <c r="J80" s="9"/>
      <c r="K80" s="9"/>
      <c r="L80" s="9"/>
    </row>
    <row r="81" spans="2:12" x14ac:dyDescent="0.35">
      <c r="B81" s="10"/>
      <c r="C81" s="15"/>
      <c r="D81" s="11"/>
      <c r="E81" s="13"/>
      <c r="F81" s="13"/>
      <c r="G81" s="9"/>
      <c r="H81" s="9"/>
      <c r="I81" s="9"/>
      <c r="J81" s="9"/>
      <c r="K81" s="9"/>
      <c r="L81" s="9"/>
    </row>
    <row r="82" spans="2:12" x14ac:dyDescent="0.35">
      <c r="B82" s="10"/>
      <c r="C82" s="9"/>
      <c r="D82" s="11"/>
      <c r="E82" s="13"/>
      <c r="F82" s="13"/>
      <c r="G82" s="9"/>
      <c r="H82" s="9"/>
      <c r="I82" s="9"/>
      <c r="J82" s="9"/>
      <c r="K82" s="9"/>
      <c r="L82" s="9"/>
    </row>
    <row r="83" spans="2:12" x14ac:dyDescent="0.35">
      <c r="B83" s="10"/>
      <c r="C83" s="9"/>
      <c r="D83" s="11"/>
      <c r="E83" s="13"/>
      <c r="F83" s="13"/>
      <c r="G83" s="9"/>
      <c r="H83" s="9"/>
      <c r="I83" s="9"/>
      <c r="J83" s="9"/>
      <c r="K83" s="9"/>
      <c r="L83" s="9"/>
    </row>
    <row r="84" spans="2:12" x14ac:dyDescent="0.35">
      <c r="B84" s="16" t="s">
        <v>41</v>
      </c>
      <c r="C84" s="9"/>
      <c r="D84" s="11"/>
      <c r="E84" s="13"/>
      <c r="F84" s="13"/>
      <c r="G84" s="9"/>
      <c r="H84" s="9"/>
      <c r="I84" s="9"/>
      <c r="J84" s="9"/>
      <c r="K84" s="9"/>
      <c r="L84" s="9"/>
    </row>
    <row r="85" spans="2:12" x14ac:dyDescent="0.35">
      <c r="B85" s="10" t="s">
        <v>22</v>
      </c>
      <c r="C85" s="9"/>
      <c r="D85" s="11"/>
      <c r="E85" s="9">
        <v>100000</v>
      </c>
      <c r="F85" s="13"/>
      <c r="G85" s="9"/>
      <c r="H85" s="9"/>
      <c r="I85" s="9"/>
      <c r="J85" s="9"/>
      <c r="K85" s="9"/>
      <c r="L85" s="9"/>
    </row>
    <row r="86" spans="2:12" x14ac:dyDescent="0.35">
      <c r="B86" s="16"/>
      <c r="C86" s="9"/>
      <c r="D86" s="11"/>
      <c r="E86" s="12"/>
      <c r="F86" s="13"/>
      <c r="G86" s="9"/>
      <c r="H86" s="9"/>
      <c r="I86" s="9"/>
      <c r="J86" s="9"/>
      <c r="K86" s="9"/>
      <c r="L86" s="9"/>
    </row>
    <row r="87" spans="2:12" x14ac:dyDescent="0.35">
      <c r="B87" s="15" t="s">
        <v>72</v>
      </c>
      <c r="D87" s="11"/>
      <c r="E87" s="9"/>
      <c r="F87" s="13">
        <f>SUM(E85:E86)</f>
        <v>100000</v>
      </c>
      <c r="G87" s="9"/>
      <c r="H87" s="9"/>
      <c r="I87" s="9"/>
      <c r="J87" s="9"/>
      <c r="K87" s="9"/>
      <c r="L87" s="9"/>
    </row>
    <row r="88" spans="2:12" x14ac:dyDescent="0.35">
      <c r="B88" s="10"/>
      <c r="C88" s="9"/>
      <c r="D88" s="11"/>
      <c r="F88" s="12"/>
      <c r="G88" s="9"/>
      <c r="H88" s="9"/>
      <c r="I88" s="9"/>
      <c r="J88" s="9"/>
      <c r="K88" s="9"/>
      <c r="L88" s="9"/>
    </row>
    <row r="89" spans="2:12" x14ac:dyDescent="0.35">
      <c r="B89" s="10"/>
      <c r="C89" s="15" t="s">
        <v>42</v>
      </c>
      <c r="D89" s="11"/>
      <c r="E89" s="13"/>
      <c r="F89" s="27">
        <f>SUM(F77:F88)</f>
        <v>320315</v>
      </c>
      <c r="G89" s="9"/>
      <c r="H89" s="9"/>
      <c r="I89" s="9"/>
      <c r="J89" s="9"/>
      <c r="K89" s="9"/>
      <c r="L89" s="9"/>
    </row>
    <row r="90" spans="2:12" x14ac:dyDescent="0.35">
      <c r="B90" s="16" t="s">
        <v>73</v>
      </c>
      <c r="C90" s="9"/>
      <c r="D90" s="11"/>
      <c r="E90" s="13"/>
      <c r="F90" s="13"/>
      <c r="G90" s="9"/>
      <c r="H90" s="9"/>
      <c r="I90" s="9"/>
      <c r="J90" s="9"/>
      <c r="K90" s="9"/>
      <c r="L90" s="9"/>
    </row>
    <row r="91" spans="2:12" x14ac:dyDescent="0.35">
      <c r="B91" s="16" t="s">
        <v>212</v>
      </c>
      <c r="C91" s="9"/>
      <c r="D91" s="11"/>
      <c r="E91" s="13"/>
      <c r="F91" s="13"/>
      <c r="G91" s="9"/>
      <c r="H91" s="9"/>
      <c r="I91" s="9"/>
      <c r="J91" s="9"/>
      <c r="K91" s="9"/>
      <c r="L91" s="9"/>
    </row>
    <row r="92" spans="2:12" x14ac:dyDescent="0.35">
      <c r="B92" s="10" t="s">
        <v>11</v>
      </c>
      <c r="C92" s="9"/>
      <c r="D92" s="11"/>
      <c r="E92" s="13">
        <f>E42</f>
        <v>100000</v>
      </c>
      <c r="F92" s="13"/>
      <c r="G92" s="9"/>
      <c r="H92" s="9"/>
      <c r="I92" s="9"/>
      <c r="J92" s="9"/>
      <c r="K92" s="9"/>
      <c r="L92" s="9"/>
    </row>
    <row r="93" spans="2:12" x14ac:dyDescent="0.35">
      <c r="B93" s="10" t="s">
        <v>52</v>
      </c>
      <c r="C93" s="9"/>
      <c r="D93" s="11"/>
      <c r="E93" s="13">
        <f>F42</f>
        <v>220000</v>
      </c>
      <c r="F93" s="13"/>
      <c r="G93" s="9"/>
      <c r="H93" s="9"/>
      <c r="I93" s="9"/>
      <c r="J93" s="9"/>
      <c r="K93" s="9"/>
      <c r="L93" s="9"/>
    </row>
    <row r="94" spans="2:12" x14ac:dyDescent="0.35">
      <c r="B94" s="16" t="s">
        <v>13</v>
      </c>
      <c r="C94" s="9"/>
      <c r="D94" s="11"/>
      <c r="E94" s="12">
        <f>G42</f>
        <v>153985</v>
      </c>
      <c r="F94" s="13"/>
      <c r="G94" s="9"/>
      <c r="H94" s="9"/>
      <c r="I94" s="9"/>
      <c r="J94" s="9"/>
      <c r="K94" s="9"/>
      <c r="L94" s="9"/>
    </row>
    <row r="95" spans="2:12" x14ac:dyDescent="0.35">
      <c r="B95" s="10"/>
      <c r="C95" s="15" t="s">
        <v>77</v>
      </c>
      <c r="D95" s="11"/>
      <c r="E95" s="13"/>
      <c r="F95" s="12">
        <f>SUM(E92:E94)</f>
        <v>473985</v>
      </c>
      <c r="G95" s="9"/>
      <c r="H95" s="9"/>
      <c r="I95" s="9"/>
      <c r="J95" s="9"/>
      <c r="K95" s="9"/>
      <c r="L95" s="9"/>
    </row>
    <row r="96" spans="2:12" x14ac:dyDescent="0.35">
      <c r="B96" s="10"/>
      <c r="C96" s="9"/>
      <c r="D96" s="11"/>
      <c r="E96" s="13"/>
      <c r="F96" s="13"/>
      <c r="G96" s="9"/>
      <c r="H96" s="9"/>
      <c r="I96" s="9"/>
      <c r="J96" s="9"/>
      <c r="K96" s="9"/>
      <c r="L96" s="9"/>
    </row>
    <row r="97" spans="2:12" ht="15" thickBot="1" x14ac:dyDescent="0.4">
      <c r="B97" s="10"/>
      <c r="C97" s="15" t="s">
        <v>43</v>
      </c>
      <c r="D97" s="11"/>
      <c r="E97" s="13"/>
      <c r="F97" s="19">
        <f>F89+F95</f>
        <v>794300</v>
      </c>
      <c r="G97" s="9"/>
      <c r="H97" s="9"/>
      <c r="I97" s="9"/>
      <c r="J97" s="9"/>
      <c r="K97" s="9"/>
      <c r="L97" s="9"/>
    </row>
    <row r="98" spans="2:12" ht="15" thickTop="1" x14ac:dyDescent="0.35">
      <c r="B98" s="10"/>
      <c r="C98" s="9"/>
      <c r="D98" s="11"/>
      <c r="E98" s="13"/>
      <c r="F98" s="13"/>
    </row>
    <row r="99" spans="2:12" ht="15" thickBot="1" x14ac:dyDescent="0.4">
      <c r="B99" s="21"/>
      <c r="C99" s="26"/>
      <c r="D99" s="23"/>
      <c r="E99" s="24"/>
      <c r="F99" s="24"/>
    </row>
    <row r="100" spans="2:12" x14ac:dyDescent="0.35">
      <c r="B100" s="9"/>
      <c r="C100" s="9"/>
      <c r="D100" s="9"/>
      <c r="E100" s="9"/>
      <c r="F100" s="9"/>
    </row>
    <row r="101" spans="2:12" x14ac:dyDescent="0.35">
      <c r="B101" s="9"/>
      <c r="C101" s="9"/>
      <c r="D101" s="9"/>
      <c r="E101" s="9"/>
      <c r="F101" s="9"/>
    </row>
  </sheetData>
  <mergeCells count="11">
    <mergeCell ref="B1:F1"/>
    <mergeCell ref="B46:F46"/>
    <mergeCell ref="B2:F2"/>
    <mergeCell ref="B47:F47"/>
    <mergeCell ref="B3:F3"/>
    <mergeCell ref="B49:F49"/>
    <mergeCell ref="B74:F74"/>
    <mergeCell ref="B33:H34"/>
    <mergeCell ref="B35:H35"/>
    <mergeCell ref="B36:H36"/>
    <mergeCell ref="B48:F48"/>
  </mergeCells>
  <pageMargins left="0.7" right="0.7" top="0.75" bottom="0.75" header="0.3" footer="0.3"/>
  <pageSetup orientation="portrait" verticalDpi="0" r:id="rId1"/>
  <ignoredErrors>
    <ignoredError sqref="F3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47"/>
  <sheetViews>
    <sheetView topLeftCell="A22" zoomScale="90" zoomScaleNormal="90" workbookViewId="0">
      <selection activeCell="B45" sqref="B45"/>
    </sheetView>
  </sheetViews>
  <sheetFormatPr defaultRowHeight="14.5" x14ac:dyDescent="0.35"/>
  <cols>
    <col min="2" max="2" width="41.7265625" customWidth="1"/>
    <col min="3" max="4" width="10.54296875" bestFit="1" customWidth="1"/>
  </cols>
  <sheetData>
    <row r="2" spans="1:4" x14ac:dyDescent="0.35">
      <c r="B2" t="s">
        <v>214</v>
      </c>
    </row>
    <row r="3" spans="1:4" x14ac:dyDescent="0.35">
      <c r="B3" s="1"/>
      <c r="C3" s="1" t="s">
        <v>0</v>
      </c>
      <c r="D3" s="1" t="s">
        <v>1</v>
      </c>
    </row>
    <row r="4" spans="1:4" x14ac:dyDescent="0.35">
      <c r="A4">
        <v>1</v>
      </c>
      <c r="B4" s="1" t="s">
        <v>2</v>
      </c>
      <c r="C4" s="2">
        <v>37700</v>
      </c>
      <c r="D4" s="2"/>
    </row>
    <row r="5" spans="1:4" x14ac:dyDescent="0.35">
      <c r="A5">
        <f>1+A4</f>
        <v>2</v>
      </c>
      <c r="B5" s="1" t="s">
        <v>3</v>
      </c>
      <c r="C5" s="2">
        <v>111600</v>
      </c>
      <c r="D5" s="2"/>
    </row>
    <row r="6" spans="1:4" x14ac:dyDescent="0.35">
      <c r="A6">
        <f t="shared" ref="A6:A30" si="0">1+A5</f>
        <v>3</v>
      </c>
      <c r="B6" s="1" t="s">
        <v>4</v>
      </c>
      <c r="C6" s="2">
        <v>180000</v>
      </c>
      <c r="D6" s="2"/>
    </row>
    <row r="7" spans="1:4" x14ac:dyDescent="0.35">
      <c r="A7">
        <f t="shared" si="0"/>
        <v>4</v>
      </c>
      <c r="B7" s="1" t="s">
        <v>113</v>
      </c>
      <c r="C7" s="2">
        <v>5000</v>
      </c>
      <c r="D7" s="2"/>
    </row>
    <row r="8" spans="1:4" x14ac:dyDescent="0.35">
      <c r="A8">
        <f t="shared" si="0"/>
        <v>5</v>
      </c>
      <c r="B8" s="1" t="s">
        <v>114</v>
      </c>
      <c r="C8" s="2">
        <v>12000</v>
      </c>
      <c r="D8" s="2"/>
    </row>
    <row r="9" spans="1:4" x14ac:dyDescent="0.35">
      <c r="A9">
        <f t="shared" si="0"/>
        <v>6</v>
      </c>
      <c r="B9" s="1" t="s">
        <v>115</v>
      </c>
      <c r="C9" s="2">
        <v>115200</v>
      </c>
      <c r="D9" s="2"/>
    </row>
    <row r="10" spans="1:4" x14ac:dyDescent="0.35">
      <c r="A10">
        <f t="shared" si="0"/>
        <v>7</v>
      </c>
      <c r="B10" s="1" t="s">
        <v>117</v>
      </c>
      <c r="C10" s="2"/>
      <c r="D10" s="2">
        <v>49500</v>
      </c>
    </row>
    <row r="11" spans="1:4" x14ac:dyDescent="0.35">
      <c r="A11">
        <f t="shared" si="0"/>
        <v>8</v>
      </c>
      <c r="B11" s="1" t="s">
        <v>116</v>
      </c>
      <c r="C11" s="2">
        <v>311500</v>
      </c>
      <c r="D11" s="2"/>
    </row>
    <row r="12" spans="1:4" x14ac:dyDescent="0.35">
      <c r="A12">
        <f t="shared" si="0"/>
        <v>9</v>
      </c>
      <c r="B12" s="1" t="s">
        <v>118</v>
      </c>
      <c r="C12" s="2"/>
      <c r="D12" s="2">
        <v>87500</v>
      </c>
    </row>
    <row r="13" spans="1:4" x14ac:dyDescent="0.35">
      <c r="A13">
        <f t="shared" si="0"/>
        <v>10</v>
      </c>
      <c r="B13" s="1" t="s">
        <v>149</v>
      </c>
      <c r="C13" s="2">
        <v>300000</v>
      </c>
      <c r="D13" s="2"/>
    </row>
    <row r="14" spans="1:4" x14ac:dyDescent="0.35">
      <c r="A14">
        <f t="shared" si="0"/>
        <v>11</v>
      </c>
      <c r="B14" s="1" t="s">
        <v>8</v>
      </c>
      <c r="C14" s="2"/>
      <c r="D14" s="2">
        <v>48600</v>
      </c>
    </row>
    <row r="15" spans="1:4" x14ac:dyDescent="0.35">
      <c r="A15">
        <f t="shared" si="0"/>
        <v>12</v>
      </c>
      <c r="B15" s="1" t="s">
        <v>129</v>
      </c>
      <c r="C15" s="2"/>
      <c r="D15" s="2">
        <v>54000</v>
      </c>
    </row>
    <row r="16" spans="1:4" x14ac:dyDescent="0.35">
      <c r="A16">
        <f t="shared" si="0"/>
        <v>13</v>
      </c>
      <c r="B16" s="1" t="s">
        <v>157</v>
      </c>
      <c r="C16" s="2"/>
      <c r="D16" s="2">
        <v>200000</v>
      </c>
    </row>
    <row r="17" spans="1:8" x14ac:dyDescent="0.35">
      <c r="A17">
        <f t="shared" si="0"/>
        <v>14</v>
      </c>
      <c r="B17" s="1" t="s">
        <v>119</v>
      </c>
      <c r="C17" s="2"/>
      <c r="D17" s="2">
        <v>209800</v>
      </c>
    </row>
    <row r="18" spans="1:8" x14ac:dyDescent="0.35">
      <c r="A18">
        <f t="shared" si="0"/>
        <v>15</v>
      </c>
      <c r="B18" s="1" t="s">
        <v>13</v>
      </c>
      <c r="C18" s="2"/>
      <c r="D18" s="2">
        <v>345000</v>
      </c>
    </row>
    <row r="19" spans="1:8" x14ac:dyDescent="0.35">
      <c r="A19">
        <f t="shared" si="0"/>
        <v>16</v>
      </c>
      <c r="B19" s="1" t="s">
        <v>14</v>
      </c>
      <c r="C19" s="2"/>
      <c r="D19" s="2">
        <v>2703600</v>
      </c>
      <c r="H19" s="4"/>
    </row>
    <row r="20" spans="1:8" x14ac:dyDescent="0.35">
      <c r="A20">
        <f t="shared" si="0"/>
        <v>17</v>
      </c>
      <c r="B20" s="1" t="s">
        <v>120</v>
      </c>
      <c r="C20" s="2">
        <v>378000</v>
      </c>
      <c r="D20" s="2"/>
      <c r="H20" s="4"/>
    </row>
    <row r="21" spans="1:8" x14ac:dyDescent="0.35">
      <c r="A21">
        <f t="shared" si="0"/>
        <v>18</v>
      </c>
      <c r="B21" s="1" t="s">
        <v>15</v>
      </c>
      <c r="C21" s="2">
        <v>37800</v>
      </c>
      <c r="D21" s="2"/>
      <c r="H21" s="4"/>
    </row>
    <row r="22" spans="1:8" x14ac:dyDescent="0.35">
      <c r="A22">
        <f t="shared" si="0"/>
        <v>19</v>
      </c>
      <c r="B22" s="1" t="s">
        <v>121</v>
      </c>
      <c r="C22" s="2">
        <v>19800</v>
      </c>
      <c r="D22" s="2"/>
    </row>
    <row r="23" spans="1:8" x14ac:dyDescent="0.35">
      <c r="A23">
        <f t="shared" si="0"/>
        <v>20</v>
      </c>
      <c r="B23" s="1" t="s">
        <v>16</v>
      </c>
      <c r="C23" s="2">
        <v>1926000</v>
      </c>
      <c r="D23" s="2"/>
    </row>
    <row r="24" spans="1:8" x14ac:dyDescent="0.35">
      <c r="A24">
        <f t="shared" si="0"/>
        <v>21</v>
      </c>
      <c r="B24" s="1" t="s">
        <v>122</v>
      </c>
      <c r="C24" s="2">
        <v>50900</v>
      </c>
      <c r="D24" s="2"/>
    </row>
    <row r="25" spans="1:8" x14ac:dyDescent="0.35">
      <c r="A25">
        <f t="shared" si="0"/>
        <v>22</v>
      </c>
      <c r="B25" s="1" t="s">
        <v>123</v>
      </c>
      <c r="C25" s="2">
        <v>73800</v>
      </c>
      <c r="D25" s="2"/>
    </row>
    <row r="26" spans="1:8" x14ac:dyDescent="0.35">
      <c r="A26">
        <f t="shared" si="0"/>
        <v>23</v>
      </c>
      <c r="B26" s="1" t="s">
        <v>21</v>
      </c>
      <c r="C26" s="2">
        <v>102300</v>
      </c>
      <c r="D26" s="2"/>
    </row>
    <row r="27" spans="1:8" x14ac:dyDescent="0.35">
      <c r="A27">
        <f t="shared" si="0"/>
        <v>24</v>
      </c>
      <c r="B27" s="1" t="s">
        <v>124</v>
      </c>
      <c r="C27" s="2">
        <v>16500</v>
      </c>
      <c r="D27" s="2"/>
    </row>
    <row r="28" spans="1:8" x14ac:dyDescent="0.35">
      <c r="A28">
        <f t="shared" si="0"/>
        <v>25</v>
      </c>
      <c r="B28" s="1" t="s">
        <v>125</v>
      </c>
      <c r="C28" s="2">
        <v>22900</v>
      </c>
      <c r="D28" s="2"/>
    </row>
    <row r="29" spans="1:8" x14ac:dyDescent="0.35">
      <c r="A29">
        <f t="shared" si="0"/>
        <v>26</v>
      </c>
      <c r="B29" s="1" t="s">
        <v>126</v>
      </c>
      <c r="C29" s="2"/>
      <c r="D29" s="2">
        <v>16000</v>
      </c>
    </row>
    <row r="30" spans="1:8" x14ac:dyDescent="0.35">
      <c r="A30">
        <f t="shared" si="0"/>
        <v>27</v>
      </c>
      <c r="B30" s="1" t="s">
        <v>127</v>
      </c>
      <c r="C30" s="2">
        <v>13000</v>
      </c>
      <c r="D30" s="2"/>
    </row>
    <row r="31" spans="1:8" x14ac:dyDescent="0.35">
      <c r="B31" s="3" t="s">
        <v>31</v>
      </c>
      <c r="C31" s="2">
        <f>SUM(C4:C30)</f>
        <v>3714000</v>
      </c>
      <c r="D31" s="2">
        <f>SUM(D4:D30)</f>
        <v>3714000</v>
      </c>
    </row>
    <row r="33" spans="2:2" x14ac:dyDescent="0.35">
      <c r="B33" s="62" t="s">
        <v>104</v>
      </c>
    </row>
    <row r="34" spans="2:2" x14ac:dyDescent="0.35">
      <c r="B34" t="s">
        <v>128</v>
      </c>
    </row>
    <row r="35" spans="2:2" x14ac:dyDescent="0.35">
      <c r="B35" t="s">
        <v>130</v>
      </c>
    </row>
    <row r="36" spans="2:2" x14ac:dyDescent="0.35">
      <c r="B36" t="s">
        <v>204</v>
      </c>
    </row>
    <row r="37" spans="2:2" ht="72.5" x14ac:dyDescent="0.35">
      <c r="B37" s="89" t="s">
        <v>131</v>
      </c>
    </row>
    <row r="38" spans="2:2" x14ac:dyDescent="0.35">
      <c r="B38" t="s">
        <v>132</v>
      </c>
    </row>
    <row r="39" spans="2:2" x14ac:dyDescent="0.35">
      <c r="B39" t="s">
        <v>133</v>
      </c>
    </row>
    <row r="42" spans="2:2" x14ac:dyDescent="0.35">
      <c r="B42" t="s">
        <v>246</v>
      </c>
    </row>
    <row r="43" spans="2:2" x14ac:dyDescent="0.35">
      <c r="B43" t="s">
        <v>247</v>
      </c>
    </row>
    <row r="45" spans="2:2" x14ac:dyDescent="0.35">
      <c r="B45" t="s">
        <v>249</v>
      </c>
    </row>
    <row r="46" spans="2:2" x14ac:dyDescent="0.35">
      <c r="B46" t="s">
        <v>248</v>
      </c>
    </row>
    <row r="47" spans="2:2" x14ac:dyDescent="0.35">
      <c r="B47" t="s">
        <v>246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103"/>
  <sheetViews>
    <sheetView topLeftCell="A25" workbookViewId="0">
      <selection activeCell="B36" sqref="B36:H36"/>
    </sheetView>
  </sheetViews>
  <sheetFormatPr defaultRowHeight="14.5" x14ac:dyDescent="0.35"/>
  <cols>
    <col min="3" max="3" width="33.7265625" customWidth="1"/>
    <col min="4" max="4" width="11.81640625" customWidth="1"/>
    <col min="5" max="5" width="14.7265625" customWidth="1"/>
    <col min="6" max="6" width="23.54296875" customWidth="1"/>
    <col min="7" max="7" width="18.26953125" customWidth="1"/>
    <col min="8" max="8" width="14.54296875" customWidth="1"/>
  </cols>
  <sheetData>
    <row r="1" spans="2:7" x14ac:dyDescent="0.35">
      <c r="B1" s="92" t="s">
        <v>111</v>
      </c>
      <c r="C1" s="92"/>
      <c r="D1" s="92"/>
      <c r="E1" s="92"/>
      <c r="F1" s="92"/>
    </row>
    <row r="2" spans="2:7" x14ac:dyDescent="0.35">
      <c r="B2" s="92" t="s">
        <v>32</v>
      </c>
      <c r="C2" s="92"/>
      <c r="D2" s="92"/>
      <c r="E2" s="92"/>
      <c r="F2" s="92"/>
    </row>
    <row r="3" spans="2:7" ht="15" thickBot="1" x14ac:dyDescent="0.4">
      <c r="B3" s="93" t="s">
        <v>44</v>
      </c>
      <c r="C3" s="93"/>
      <c r="D3" s="93"/>
      <c r="E3" s="92"/>
      <c r="F3" s="92"/>
    </row>
    <row r="4" spans="2:7" x14ac:dyDescent="0.35">
      <c r="B4" s="5" t="s">
        <v>14</v>
      </c>
      <c r="C4" s="6"/>
      <c r="D4" s="7"/>
      <c r="E4" s="8">
        <v>2703600</v>
      </c>
      <c r="F4" s="7"/>
      <c r="G4" s="9"/>
    </row>
    <row r="5" spans="2:7" x14ac:dyDescent="0.35">
      <c r="B5" s="10" t="s">
        <v>140</v>
      </c>
      <c r="C5" s="9"/>
      <c r="D5" s="11"/>
      <c r="E5" s="13">
        <v>-37800</v>
      </c>
      <c r="F5" s="11"/>
      <c r="G5" s="9"/>
    </row>
    <row r="6" spans="2:7" x14ac:dyDescent="0.35">
      <c r="B6" s="10" t="s">
        <v>141</v>
      </c>
      <c r="C6" s="9"/>
      <c r="D6" s="11"/>
      <c r="E6" s="12">
        <v>-19800</v>
      </c>
      <c r="F6" s="11"/>
      <c r="G6" s="9"/>
    </row>
    <row r="7" spans="2:7" x14ac:dyDescent="0.35">
      <c r="B7" s="10"/>
      <c r="C7" s="15" t="s">
        <v>56</v>
      </c>
      <c r="D7" s="11"/>
      <c r="E7" s="13"/>
      <c r="F7" s="11">
        <f>SUM(E4:E6)</f>
        <v>2646000</v>
      </c>
      <c r="G7" s="9"/>
    </row>
    <row r="8" spans="2:7" x14ac:dyDescent="0.35">
      <c r="B8" s="10" t="s">
        <v>142</v>
      </c>
      <c r="C8" s="9"/>
      <c r="D8" s="11"/>
      <c r="E8" s="13"/>
      <c r="F8" s="28">
        <f>-(1926000+5000)</f>
        <v>-1931000</v>
      </c>
      <c r="G8" s="9"/>
    </row>
    <row r="9" spans="2:7" x14ac:dyDescent="0.35">
      <c r="B9" s="10"/>
      <c r="C9" s="15" t="s">
        <v>57</v>
      </c>
      <c r="D9" s="11"/>
      <c r="E9" s="13"/>
      <c r="F9" s="11">
        <f>F7+F8</f>
        <v>715000</v>
      </c>
      <c r="G9" s="9"/>
    </row>
    <row r="10" spans="2:7" x14ac:dyDescent="0.35">
      <c r="B10" s="16" t="s">
        <v>143</v>
      </c>
      <c r="C10" s="9"/>
      <c r="D10" s="11"/>
      <c r="E10" s="13"/>
      <c r="F10" s="11"/>
      <c r="G10" s="9"/>
    </row>
    <row r="11" spans="2:7" x14ac:dyDescent="0.35">
      <c r="B11" s="10" t="s">
        <v>120</v>
      </c>
      <c r="C11" s="9"/>
      <c r="D11" s="11"/>
      <c r="E11" s="13">
        <v>378000</v>
      </c>
      <c r="F11" s="29"/>
      <c r="G11" s="9"/>
    </row>
    <row r="12" spans="2:7" x14ac:dyDescent="0.35">
      <c r="B12" s="10" t="s">
        <v>18</v>
      </c>
      <c r="C12" s="9"/>
      <c r="D12" s="11"/>
      <c r="E12" s="13">
        <v>50900</v>
      </c>
      <c r="F12" s="29"/>
      <c r="G12" s="9"/>
    </row>
    <row r="13" spans="2:7" x14ac:dyDescent="0.35">
      <c r="B13" s="10" t="s">
        <v>123</v>
      </c>
      <c r="C13" s="9"/>
      <c r="D13" s="11"/>
      <c r="E13" s="13">
        <v>73800</v>
      </c>
      <c r="F13" s="29"/>
      <c r="G13" s="9"/>
    </row>
    <row r="14" spans="2:7" x14ac:dyDescent="0.35">
      <c r="B14" s="10" t="s">
        <v>21</v>
      </c>
      <c r="C14" s="9"/>
      <c r="D14" s="11"/>
      <c r="E14" s="13">
        <v>102300</v>
      </c>
      <c r="F14" s="29"/>
      <c r="G14" s="9"/>
    </row>
    <row r="15" spans="2:7" x14ac:dyDescent="0.35">
      <c r="B15" s="10" t="s">
        <v>19</v>
      </c>
      <c r="C15" s="9"/>
      <c r="D15" s="11"/>
      <c r="E15" s="13">
        <v>16500</v>
      </c>
      <c r="F15" s="29"/>
      <c r="G15" s="9"/>
    </row>
    <row r="16" spans="2:7" x14ac:dyDescent="0.35">
      <c r="B16" s="10" t="s">
        <v>144</v>
      </c>
      <c r="C16" s="9"/>
      <c r="D16" s="11"/>
      <c r="E16" s="13">
        <v>13000</v>
      </c>
      <c r="F16" s="29"/>
      <c r="G16" s="9"/>
    </row>
    <row r="17" spans="2:7" x14ac:dyDescent="0.35">
      <c r="B17" s="10" t="s">
        <v>205</v>
      </c>
      <c r="C17" s="9"/>
      <c r="D17" s="11"/>
      <c r="E17" s="13">
        <f>13140</f>
        <v>13140</v>
      </c>
      <c r="F17" s="29"/>
      <c r="G17" s="9"/>
    </row>
    <row r="18" spans="2:7" x14ac:dyDescent="0.35">
      <c r="B18" s="10" t="s">
        <v>206</v>
      </c>
      <c r="C18" s="9"/>
      <c r="D18" s="11"/>
      <c r="E18" s="13">
        <v>31150</v>
      </c>
      <c r="F18" s="29"/>
      <c r="G18" s="9"/>
    </row>
    <row r="19" spans="2:7" x14ac:dyDescent="0.35">
      <c r="B19" s="10" t="s">
        <v>134</v>
      </c>
      <c r="C19" s="9"/>
      <c r="D19" s="11"/>
      <c r="E19" s="12">
        <v>2000</v>
      </c>
      <c r="F19" s="29"/>
      <c r="G19" s="9"/>
    </row>
    <row r="20" spans="2:7" x14ac:dyDescent="0.35">
      <c r="B20" s="10"/>
      <c r="C20" s="9"/>
      <c r="D20" s="11"/>
      <c r="E20" s="13"/>
      <c r="F20" s="29"/>
      <c r="G20" s="9"/>
    </row>
    <row r="21" spans="2:7" x14ac:dyDescent="0.35">
      <c r="B21" s="18"/>
      <c r="C21" s="62" t="s">
        <v>60</v>
      </c>
      <c r="D21" s="11"/>
      <c r="E21" s="13"/>
      <c r="F21" s="30">
        <f>SUM(E11:E19)</f>
        <v>680790</v>
      </c>
      <c r="G21" s="9"/>
    </row>
    <row r="22" spans="2:7" x14ac:dyDescent="0.35">
      <c r="B22" s="18"/>
      <c r="C22" s="62" t="s">
        <v>148</v>
      </c>
      <c r="D22" s="11"/>
      <c r="E22" s="13"/>
      <c r="F22" s="11">
        <f>F9-F21</f>
        <v>34210</v>
      </c>
      <c r="G22" s="9"/>
    </row>
    <row r="23" spans="2:7" x14ac:dyDescent="0.35">
      <c r="B23" s="18" t="s">
        <v>62</v>
      </c>
      <c r="C23" s="15"/>
      <c r="D23" s="11"/>
      <c r="E23" s="13"/>
      <c r="F23" s="11"/>
      <c r="G23" s="9"/>
    </row>
    <row r="24" spans="2:7" x14ac:dyDescent="0.35">
      <c r="B24" s="10" t="s">
        <v>126</v>
      </c>
      <c r="C24" s="15"/>
      <c r="D24" s="11"/>
      <c r="E24" s="13">
        <v>16000</v>
      </c>
      <c r="F24" s="11"/>
      <c r="G24" s="9"/>
    </row>
    <row r="25" spans="2:7" x14ac:dyDescent="0.35">
      <c r="B25" s="39"/>
      <c r="C25" s="15"/>
      <c r="D25" s="11"/>
      <c r="E25" s="13"/>
      <c r="F25" s="11"/>
    </row>
    <row r="26" spans="2:7" x14ac:dyDescent="0.35">
      <c r="B26" s="16" t="s">
        <v>145</v>
      </c>
      <c r="C26" s="9"/>
      <c r="D26" s="11"/>
      <c r="E26" s="13"/>
      <c r="F26" s="11"/>
      <c r="G26" s="9"/>
    </row>
    <row r="27" spans="2:7" x14ac:dyDescent="0.35">
      <c r="B27" s="10" t="s">
        <v>146</v>
      </c>
      <c r="C27" s="9"/>
      <c r="D27" s="11"/>
      <c r="E27" s="12">
        <v>-22900</v>
      </c>
      <c r="F27" s="30">
        <f>E24+E27</f>
        <v>-6900</v>
      </c>
      <c r="G27" s="9"/>
    </row>
    <row r="28" spans="2:7" x14ac:dyDescent="0.35">
      <c r="B28" s="40"/>
      <c r="C28" s="15" t="s">
        <v>147</v>
      </c>
      <c r="D28" s="11"/>
      <c r="E28" s="13"/>
      <c r="F28" s="41">
        <f>F22+F27</f>
        <v>27310</v>
      </c>
      <c r="G28" s="9"/>
    </row>
    <row r="29" spans="2:7" x14ac:dyDescent="0.35">
      <c r="B29" s="10" t="s">
        <v>150</v>
      </c>
      <c r="C29" s="9"/>
      <c r="D29" s="11"/>
      <c r="E29" s="13"/>
      <c r="F29" s="28">
        <v>5400</v>
      </c>
      <c r="G29" s="9"/>
    </row>
    <row r="30" spans="2:7" x14ac:dyDescent="0.35">
      <c r="B30" s="10"/>
      <c r="C30" s="15" t="s">
        <v>151</v>
      </c>
      <c r="D30" s="11"/>
      <c r="E30" s="13"/>
      <c r="F30" s="42">
        <f>F28-F29</f>
        <v>21910</v>
      </c>
      <c r="G30" s="9"/>
    </row>
    <row r="31" spans="2:7" x14ac:dyDescent="0.35">
      <c r="B31" s="10" t="s">
        <v>156</v>
      </c>
      <c r="C31" s="9"/>
      <c r="D31" s="11"/>
      <c r="E31" s="13"/>
      <c r="F31" s="28">
        <f>F30*0.325</f>
        <v>7120.75</v>
      </c>
      <c r="G31" s="9"/>
    </row>
    <row r="32" spans="2:7" ht="15" thickBot="1" x14ac:dyDescent="0.4">
      <c r="B32" s="10"/>
      <c r="C32" s="15" t="s">
        <v>68</v>
      </c>
      <c r="D32" s="11"/>
      <c r="E32" s="13"/>
      <c r="F32" s="64">
        <f>F30-F31</f>
        <v>14789.25</v>
      </c>
      <c r="G32" s="9"/>
    </row>
    <row r="33" spans="2:12" ht="15.5" thickTop="1" thickBot="1" x14ac:dyDescent="0.4">
      <c r="B33" s="21"/>
      <c r="C33" s="22"/>
      <c r="D33" s="23"/>
      <c r="E33" s="24"/>
      <c r="F33" s="43"/>
      <c r="G33" s="9"/>
    </row>
    <row r="34" spans="2:12" x14ac:dyDescent="0.35">
      <c r="B34" s="94" t="s">
        <v>111</v>
      </c>
      <c r="C34" s="94"/>
      <c r="D34" s="94"/>
      <c r="E34" s="94"/>
      <c r="F34" s="94"/>
      <c r="G34" s="94"/>
      <c r="H34" s="94"/>
    </row>
    <row r="35" spans="2:12" x14ac:dyDescent="0.35">
      <c r="B35" s="94"/>
      <c r="C35" s="94"/>
      <c r="D35" s="94"/>
      <c r="E35" s="94"/>
      <c r="F35" s="94"/>
      <c r="G35" s="94"/>
      <c r="H35" s="94"/>
    </row>
    <row r="36" spans="2:12" x14ac:dyDescent="0.35">
      <c r="B36" s="94" t="s">
        <v>270</v>
      </c>
      <c r="C36" s="94"/>
      <c r="D36" s="94"/>
      <c r="E36" s="94"/>
      <c r="F36" s="94"/>
      <c r="G36" s="94"/>
      <c r="H36" s="94"/>
    </row>
    <row r="37" spans="2:12" ht="15" thickBot="1" x14ac:dyDescent="0.4">
      <c r="B37" s="91" t="s">
        <v>44</v>
      </c>
      <c r="C37" s="91"/>
      <c r="D37" s="91"/>
      <c r="E37" s="91"/>
      <c r="F37" s="91"/>
      <c r="G37" s="91"/>
      <c r="H37" s="91"/>
    </row>
    <row r="38" spans="2:12" ht="15" thickBot="1" x14ac:dyDescent="0.4">
      <c r="B38" s="31"/>
      <c r="C38" s="32"/>
      <c r="D38" s="33"/>
      <c r="E38" s="35" t="s">
        <v>11</v>
      </c>
      <c r="F38" s="35" t="s">
        <v>52</v>
      </c>
      <c r="G38" s="35" t="s">
        <v>53</v>
      </c>
      <c r="H38" s="36" t="s">
        <v>31</v>
      </c>
    </row>
    <row r="39" spans="2:12" x14ac:dyDescent="0.35">
      <c r="B39" s="18" t="s">
        <v>139</v>
      </c>
      <c r="C39" s="9"/>
      <c r="D39" s="11"/>
      <c r="E39" s="13">
        <v>200000</v>
      </c>
      <c r="F39" s="13">
        <v>209800</v>
      </c>
      <c r="G39" s="13">
        <v>345000</v>
      </c>
      <c r="H39" s="8">
        <f>SUM(E39:G39)</f>
        <v>754800</v>
      </c>
    </row>
    <row r="40" spans="2:12" x14ac:dyDescent="0.35">
      <c r="B40" s="18" t="s">
        <v>154</v>
      </c>
      <c r="C40" s="9"/>
      <c r="D40" s="11"/>
      <c r="E40" s="13"/>
      <c r="F40" s="13"/>
      <c r="G40" s="13">
        <f>F32</f>
        <v>14789.25</v>
      </c>
      <c r="H40" s="13">
        <f t="shared" ref="H40:H43" si="0">SUM(E40:G40)</f>
        <v>14789.25</v>
      </c>
    </row>
    <row r="41" spans="2:12" x14ac:dyDescent="0.35">
      <c r="B41" s="18" t="s">
        <v>155</v>
      </c>
      <c r="C41" s="9"/>
      <c r="D41" s="11"/>
      <c r="E41" s="20"/>
      <c r="F41" s="13"/>
      <c r="G41" s="13">
        <v>-20000</v>
      </c>
      <c r="H41" s="13">
        <f t="shared" si="0"/>
        <v>-20000</v>
      </c>
    </row>
    <row r="42" spans="2:12" ht="15" thickBot="1" x14ac:dyDescent="0.4">
      <c r="B42" s="10"/>
      <c r="C42" s="9"/>
      <c r="D42" s="11"/>
      <c r="E42" s="13"/>
      <c r="F42" s="13"/>
      <c r="G42" s="13"/>
      <c r="H42" s="24"/>
    </row>
    <row r="43" spans="2:12" ht="15" thickBot="1" x14ac:dyDescent="0.4">
      <c r="B43" s="38"/>
      <c r="C43" s="26"/>
      <c r="D43" s="23"/>
      <c r="E43" s="78">
        <f>SUM(E39:E42)</f>
        <v>200000</v>
      </c>
      <c r="F43" s="78">
        <f t="shared" ref="F43:G43" si="1">SUM(F39:F42)</f>
        <v>209800</v>
      </c>
      <c r="G43" s="78">
        <f t="shared" si="1"/>
        <v>339789.25</v>
      </c>
      <c r="H43" s="78">
        <f t="shared" si="0"/>
        <v>749589.25</v>
      </c>
      <c r="I43" s="9"/>
      <c r="K43" s="9"/>
    </row>
    <row r="44" spans="2:12" x14ac:dyDescent="0.35">
      <c r="B44" s="9"/>
      <c r="C44" s="9"/>
      <c r="D44" s="9"/>
      <c r="E44" s="9"/>
      <c r="F44" s="9"/>
      <c r="G44" s="9"/>
    </row>
    <row r="45" spans="2:12" x14ac:dyDescent="0.35">
      <c r="B45" s="9"/>
      <c r="C45" s="9"/>
      <c r="D45" s="9"/>
      <c r="E45" s="9"/>
      <c r="F45" s="9"/>
      <c r="G45" s="9"/>
    </row>
    <row r="46" spans="2:12" x14ac:dyDescent="0.35">
      <c r="B46" s="9"/>
      <c r="C46" s="9"/>
      <c r="D46" s="9"/>
      <c r="E46" s="9"/>
      <c r="F46" s="9"/>
      <c r="G46" s="9"/>
    </row>
    <row r="47" spans="2:12" x14ac:dyDescent="0.35">
      <c r="B47" s="92" t="s">
        <v>111</v>
      </c>
      <c r="C47" s="92"/>
      <c r="D47" s="92"/>
      <c r="E47" s="92"/>
      <c r="F47" s="92"/>
      <c r="G47" s="9"/>
      <c r="H47" s="9"/>
      <c r="I47" s="9"/>
      <c r="J47" s="9"/>
      <c r="K47" s="9"/>
      <c r="L47" s="9"/>
    </row>
    <row r="48" spans="2:12" x14ac:dyDescent="0.35">
      <c r="B48" s="92" t="s">
        <v>33</v>
      </c>
      <c r="C48" s="92"/>
      <c r="D48" s="92"/>
      <c r="E48" s="92"/>
      <c r="F48" s="92"/>
      <c r="G48" s="9"/>
      <c r="H48" s="9"/>
      <c r="I48" s="9"/>
      <c r="J48" s="9"/>
      <c r="K48" s="9"/>
      <c r="L48" s="9"/>
    </row>
    <row r="49" spans="2:12" ht="15" thickBot="1" x14ac:dyDescent="0.4">
      <c r="B49" s="93" t="s">
        <v>45</v>
      </c>
      <c r="C49" s="93"/>
      <c r="D49" s="93"/>
      <c r="E49" s="93"/>
      <c r="F49" s="93"/>
      <c r="G49" s="9"/>
      <c r="H49" s="9"/>
      <c r="I49" s="9"/>
      <c r="J49" s="9"/>
      <c r="K49" s="9"/>
      <c r="L49" s="9"/>
    </row>
    <row r="50" spans="2:12" ht="16" thickBot="1" x14ac:dyDescent="0.4">
      <c r="B50" s="95" t="s">
        <v>34</v>
      </c>
      <c r="C50" s="96"/>
      <c r="D50" s="96"/>
      <c r="E50" s="96"/>
      <c r="F50" s="97"/>
      <c r="G50" s="9"/>
      <c r="H50" s="9"/>
      <c r="I50" s="9"/>
      <c r="J50" s="9"/>
      <c r="K50" s="9"/>
      <c r="L50" s="9"/>
    </row>
    <row r="51" spans="2:12" x14ac:dyDescent="0.35">
      <c r="B51" s="14" t="s">
        <v>35</v>
      </c>
      <c r="C51" s="6"/>
      <c r="D51" s="7"/>
      <c r="E51" s="8"/>
      <c r="F51" s="8"/>
      <c r="G51" s="9"/>
      <c r="H51" s="9"/>
      <c r="I51" s="9"/>
      <c r="J51" s="9"/>
      <c r="K51" s="9"/>
      <c r="L51" s="9"/>
    </row>
    <row r="52" spans="2:12" x14ac:dyDescent="0.35">
      <c r="B52" s="10" t="s">
        <v>2</v>
      </c>
      <c r="C52" s="9"/>
      <c r="D52" s="11"/>
      <c r="E52" s="13">
        <v>37700</v>
      </c>
      <c r="F52" s="13"/>
      <c r="G52" s="9"/>
      <c r="H52" s="9"/>
      <c r="I52" s="9"/>
      <c r="J52" s="9"/>
      <c r="K52" s="9"/>
      <c r="L52" s="9"/>
    </row>
    <row r="53" spans="2:12" x14ac:dyDescent="0.35">
      <c r="B53" s="10" t="s">
        <v>3</v>
      </c>
      <c r="C53" s="9"/>
      <c r="D53" s="11"/>
      <c r="E53" s="13">
        <v>111600</v>
      </c>
      <c r="F53" s="13"/>
      <c r="G53" s="9"/>
      <c r="H53" s="9"/>
      <c r="I53" s="9"/>
      <c r="J53" s="9"/>
      <c r="K53" s="9"/>
      <c r="L53" s="9"/>
    </row>
    <row r="54" spans="2:12" x14ac:dyDescent="0.35">
      <c r="B54" s="10" t="s">
        <v>4</v>
      </c>
      <c r="C54" s="9"/>
      <c r="D54" s="11"/>
      <c r="E54" s="13">
        <v>175000</v>
      </c>
      <c r="F54" s="13"/>
      <c r="G54" s="9"/>
      <c r="H54" s="9"/>
      <c r="I54" s="9"/>
      <c r="J54" s="9"/>
      <c r="K54" s="9"/>
      <c r="L54" s="9"/>
    </row>
    <row r="55" spans="2:12" x14ac:dyDescent="0.35">
      <c r="B55" s="10" t="s">
        <v>113</v>
      </c>
      <c r="C55" s="9"/>
      <c r="D55" s="11"/>
      <c r="E55" s="13">
        <v>5000</v>
      </c>
      <c r="F55" s="13"/>
      <c r="G55" s="9"/>
      <c r="H55" s="9"/>
      <c r="I55" s="9"/>
      <c r="J55" s="9"/>
      <c r="K55" s="9"/>
      <c r="L55" s="9"/>
    </row>
    <row r="56" spans="2:12" x14ac:dyDescent="0.35">
      <c r="B56" s="10" t="s">
        <v>135</v>
      </c>
      <c r="C56" s="9"/>
      <c r="D56" s="11"/>
      <c r="E56" s="13">
        <v>10000</v>
      </c>
      <c r="F56" s="13"/>
      <c r="G56" s="9"/>
      <c r="H56" s="9"/>
      <c r="I56" s="9"/>
      <c r="J56" s="9"/>
      <c r="K56" s="9"/>
      <c r="L56" s="9"/>
    </row>
    <row r="57" spans="2:12" x14ac:dyDescent="0.35">
      <c r="B57" s="10"/>
      <c r="C57" s="9"/>
      <c r="D57" s="11"/>
      <c r="E57" s="13"/>
      <c r="F57" s="13"/>
      <c r="G57" s="9"/>
      <c r="H57" s="9"/>
      <c r="I57" s="9"/>
      <c r="J57" s="9"/>
      <c r="K57" s="9"/>
      <c r="L57" s="9"/>
    </row>
    <row r="58" spans="2:12" x14ac:dyDescent="0.35">
      <c r="B58" s="10"/>
      <c r="C58" s="9"/>
      <c r="D58" s="11"/>
      <c r="E58" s="12"/>
      <c r="F58" s="13"/>
      <c r="G58" s="9"/>
      <c r="H58" s="9"/>
      <c r="I58" s="9"/>
      <c r="J58" s="9"/>
      <c r="K58" s="9"/>
      <c r="L58" s="9"/>
    </row>
    <row r="59" spans="2:12" x14ac:dyDescent="0.35">
      <c r="B59" s="10"/>
      <c r="C59" s="79" t="s">
        <v>36</v>
      </c>
      <c r="D59" s="11"/>
      <c r="E59" s="13"/>
      <c r="F59" s="13">
        <f>SUM(E52:E58)</f>
        <v>339300</v>
      </c>
      <c r="G59" s="9"/>
      <c r="H59" s="9"/>
      <c r="I59" s="9"/>
      <c r="J59" s="9"/>
      <c r="K59" s="9"/>
      <c r="L59" s="9"/>
    </row>
    <row r="60" spans="2:12" x14ac:dyDescent="0.35">
      <c r="B60" s="10"/>
      <c r="C60" s="9"/>
      <c r="D60" s="11"/>
      <c r="E60" s="13"/>
      <c r="F60" s="13"/>
      <c r="G60" s="9"/>
      <c r="H60" s="9"/>
      <c r="I60" s="9"/>
      <c r="J60" s="9"/>
      <c r="K60" s="9"/>
      <c r="L60" s="9"/>
    </row>
    <row r="61" spans="2:12" x14ac:dyDescent="0.35">
      <c r="B61" s="10"/>
      <c r="C61" s="9"/>
      <c r="D61" s="11"/>
      <c r="E61" s="13"/>
      <c r="F61" s="13"/>
      <c r="G61" s="9"/>
      <c r="H61" s="9"/>
      <c r="I61" s="9"/>
      <c r="J61" s="9"/>
      <c r="K61" s="9"/>
      <c r="L61" s="9"/>
    </row>
    <row r="62" spans="2:12" x14ac:dyDescent="0.35">
      <c r="B62" s="16" t="s">
        <v>37</v>
      </c>
      <c r="C62" s="9"/>
      <c r="D62" s="11"/>
      <c r="E62" s="13"/>
      <c r="F62" s="13"/>
      <c r="G62" s="9"/>
      <c r="H62" s="9"/>
      <c r="I62" s="9"/>
      <c r="J62" s="9"/>
      <c r="K62" s="9"/>
      <c r="L62" s="9"/>
    </row>
    <row r="63" spans="2:12" x14ac:dyDescent="0.35">
      <c r="B63" s="10" t="s">
        <v>115</v>
      </c>
      <c r="C63" s="9"/>
      <c r="D63" s="11">
        <v>115200</v>
      </c>
      <c r="E63" s="17"/>
      <c r="F63" s="13"/>
      <c r="G63" s="9"/>
      <c r="H63" s="9"/>
      <c r="I63" s="9"/>
      <c r="J63" s="9"/>
      <c r="K63" s="9"/>
      <c r="L63" s="9"/>
    </row>
    <row r="64" spans="2:12" x14ac:dyDescent="0.35">
      <c r="B64" s="10" t="s">
        <v>136</v>
      </c>
      <c r="C64" s="9"/>
      <c r="D64" s="30">
        <f>49500+65700*0.2</f>
        <v>62640</v>
      </c>
      <c r="E64" s="13">
        <f>D63-D64</f>
        <v>52560</v>
      </c>
      <c r="F64" s="13"/>
      <c r="G64" s="9"/>
      <c r="H64" s="9"/>
      <c r="I64" s="9"/>
      <c r="J64" s="9"/>
      <c r="K64" s="9"/>
      <c r="L64" s="9"/>
    </row>
    <row r="65" spans="2:12" x14ac:dyDescent="0.35">
      <c r="B65" s="40"/>
      <c r="C65" s="9"/>
      <c r="E65" s="17"/>
      <c r="F65" s="13"/>
      <c r="G65" s="9"/>
      <c r="H65" s="9"/>
      <c r="I65" s="9"/>
      <c r="J65" s="9"/>
      <c r="K65" s="9"/>
      <c r="L65" s="9"/>
    </row>
    <row r="66" spans="2:12" x14ac:dyDescent="0.35">
      <c r="B66" s="10" t="s">
        <v>116</v>
      </c>
      <c r="C66" s="9"/>
      <c r="D66" s="11">
        <v>311500</v>
      </c>
      <c r="E66" s="17"/>
      <c r="F66" s="13"/>
      <c r="G66" s="9"/>
      <c r="H66" s="9"/>
      <c r="I66" s="9"/>
      <c r="J66" s="9"/>
      <c r="K66" s="9"/>
      <c r="L66" s="9"/>
    </row>
    <row r="67" spans="2:12" x14ac:dyDescent="0.35">
      <c r="B67" s="10" t="s">
        <v>137</v>
      </c>
      <c r="C67" s="9"/>
      <c r="D67" s="30">
        <f>87500+311500*0.1</f>
        <v>118650</v>
      </c>
      <c r="E67" s="13">
        <f>D66-D67</f>
        <v>192850</v>
      </c>
      <c r="F67" s="13"/>
      <c r="G67" s="9"/>
      <c r="H67" s="9"/>
      <c r="I67" s="9"/>
      <c r="J67" s="9"/>
      <c r="K67" s="9"/>
      <c r="L67" s="9"/>
    </row>
    <row r="68" spans="2:12" x14ac:dyDescent="0.35">
      <c r="B68" s="10"/>
      <c r="C68" s="9"/>
      <c r="D68" s="11"/>
      <c r="E68" s="13"/>
      <c r="F68" s="13"/>
      <c r="G68" s="9"/>
      <c r="H68" s="9"/>
      <c r="I68" s="9"/>
      <c r="J68" s="9"/>
      <c r="K68" s="9"/>
      <c r="L68" s="9"/>
    </row>
    <row r="69" spans="2:12" x14ac:dyDescent="0.35">
      <c r="B69" s="10" t="s">
        <v>149</v>
      </c>
      <c r="C69" s="9"/>
      <c r="D69" s="11"/>
      <c r="E69" s="12">
        <v>300000</v>
      </c>
      <c r="F69" s="13"/>
      <c r="G69" s="9"/>
      <c r="H69" s="9"/>
      <c r="I69" s="9"/>
      <c r="J69" s="9"/>
      <c r="K69" s="9"/>
      <c r="L69" s="9"/>
    </row>
    <row r="70" spans="2:12" x14ac:dyDescent="0.35">
      <c r="B70" s="10"/>
      <c r="C70" s="79" t="s">
        <v>71</v>
      </c>
      <c r="D70" s="11"/>
      <c r="E70" s="13"/>
      <c r="F70" s="13">
        <f>SUM(E64:E69)</f>
        <v>545410</v>
      </c>
      <c r="G70" s="9"/>
      <c r="H70" s="9"/>
      <c r="I70" s="9"/>
      <c r="J70" s="9"/>
      <c r="K70" s="9"/>
      <c r="L70" s="9"/>
    </row>
    <row r="71" spans="2:12" x14ac:dyDescent="0.35">
      <c r="B71" s="10"/>
      <c r="C71" s="9"/>
      <c r="D71" s="11"/>
      <c r="E71" s="13"/>
      <c r="F71" s="13"/>
      <c r="G71" s="9"/>
      <c r="H71" s="9"/>
      <c r="I71" s="9"/>
      <c r="J71" s="9"/>
      <c r="K71" s="9"/>
      <c r="L71" s="9"/>
    </row>
    <row r="72" spans="2:12" ht="15" thickBot="1" x14ac:dyDescent="0.4">
      <c r="B72" s="10"/>
      <c r="C72" s="9"/>
      <c r="D72" s="63" t="s">
        <v>38</v>
      </c>
      <c r="E72" s="13"/>
      <c r="F72" s="19">
        <f>SUM(F53:F71)</f>
        <v>884710</v>
      </c>
      <c r="G72" s="9"/>
      <c r="H72" s="9"/>
      <c r="I72" s="9"/>
      <c r="J72" s="9"/>
      <c r="K72" s="9"/>
      <c r="L72" s="9"/>
    </row>
    <row r="73" spans="2:12" ht="15" thickTop="1" x14ac:dyDescent="0.35">
      <c r="B73" s="10"/>
      <c r="C73" s="15"/>
      <c r="D73" s="11"/>
      <c r="E73" s="13"/>
      <c r="F73" s="20"/>
      <c r="G73" s="9"/>
      <c r="H73" s="9"/>
      <c r="I73" s="9"/>
      <c r="J73" s="9"/>
      <c r="K73" s="9"/>
      <c r="L73" s="9"/>
    </row>
    <row r="74" spans="2:12" ht="15" thickBot="1" x14ac:dyDescent="0.4">
      <c r="B74" s="21"/>
      <c r="C74" s="22"/>
      <c r="D74" s="23"/>
      <c r="E74" s="24"/>
      <c r="F74" s="25"/>
      <c r="G74" s="9"/>
      <c r="H74" s="9"/>
      <c r="I74" s="9"/>
      <c r="J74" s="9"/>
      <c r="K74" s="9"/>
      <c r="L74" s="9"/>
    </row>
    <row r="75" spans="2:12" ht="16" thickBot="1" x14ac:dyDescent="0.4">
      <c r="B75" s="98" t="s">
        <v>39</v>
      </c>
      <c r="C75" s="99"/>
      <c r="D75" s="99"/>
      <c r="E75" s="99"/>
      <c r="F75" s="100"/>
      <c r="G75" s="9"/>
      <c r="H75" s="9"/>
      <c r="I75" s="9"/>
      <c r="J75" s="9"/>
      <c r="K75" s="9"/>
      <c r="L75" s="9"/>
    </row>
    <row r="76" spans="2:12" x14ac:dyDescent="0.35">
      <c r="B76" s="14" t="s">
        <v>40</v>
      </c>
      <c r="C76" s="6"/>
      <c r="D76" s="7"/>
      <c r="E76" s="8"/>
      <c r="F76" s="8"/>
      <c r="G76" s="9"/>
      <c r="H76" s="9"/>
      <c r="I76" s="9"/>
      <c r="J76" s="9"/>
      <c r="K76" s="9"/>
      <c r="L76" s="9"/>
    </row>
    <row r="77" spans="2:12" x14ac:dyDescent="0.35">
      <c r="B77" s="10" t="s">
        <v>138</v>
      </c>
      <c r="C77" s="9"/>
      <c r="D77" s="11"/>
      <c r="E77" s="13">
        <v>48600</v>
      </c>
      <c r="F77" s="13"/>
      <c r="G77" s="9"/>
      <c r="H77" s="9"/>
      <c r="I77" s="9"/>
      <c r="J77" s="9"/>
      <c r="K77" s="9"/>
      <c r="L77" s="9"/>
    </row>
    <row r="78" spans="2:12" x14ac:dyDescent="0.35">
      <c r="B78" s="10" t="s">
        <v>152</v>
      </c>
      <c r="C78" s="9"/>
      <c r="D78" s="11"/>
      <c r="E78" s="13">
        <v>5400</v>
      </c>
      <c r="F78" s="13"/>
      <c r="G78" s="9"/>
      <c r="H78" s="9"/>
      <c r="I78" s="9"/>
      <c r="J78" s="9"/>
      <c r="K78" s="9"/>
      <c r="L78" s="9"/>
    </row>
    <row r="79" spans="2:12" x14ac:dyDescent="0.35">
      <c r="B79" s="10" t="s">
        <v>153</v>
      </c>
      <c r="C79" s="9"/>
      <c r="D79" s="9"/>
      <c r="E79" s="9">
        <v>7121</v>
      </c>
      <c r="F79" s="11"/>
      <c r="G79" s="9"/>
      <c r="H79" s="9"/>
      <c r="I79" s="9"/>
      <c r="J79" s="9"/>
      <c r="K79" s="9"/>
      <c r="L79" s="9"/>
    </row>
    <row r="80" spans="2:12" x14ac:dyDescent="0.35">
      <c r="B80" s="10" t="s">
        <v>82</v>
      </c>
      <c r="C80" s="9"/>
      <c r="D80" s="11"/>
      <c r="E80" s="13">
        <v>20000</v>
      </c>
      <c r="F80" s="13"/>
      <c r="G80" s="9"/>
      <c r="H80" s="9"/>
      <c r="I80" s="9"/>
      <c r="J80" s="9"/>
      <c r="K80" s="9"/>
      <c r="L80" s="9"/>
    </row>
    <row r="81" spans="2:12" x14ac:dyDescent="0.35">
      <c r="B81" s="18"/>
      <c r="C81" s="79" t="s">
        <v>216</v>
      </c>
      <c r="D81" s="11"/>
      <c r="E81" s="13"/>
      <c r="F81" s="13">
        <f>SUM(E76:E80)</f>
        <v>81121</v>
      </c>
      <c r="G81" s="9"/>
      <c r="H81" s="9"/>
      <c r="I81" s="9"/>
      <c r="J81" s="9"/>
      <c r="K81" s="9"/>
      <c r="L81" s="9"/>
    </row>
    <row r="82" spans="2:12" x14ac:dyDescent="0.35">
      <c r="B82" s="10"/>
      <c r="C82" s="15"/>
      <c r="D82" s="11"/>
      <c r="E82" s="13"/>
      <c r="F82" s="13"/>
      <c r="G82" s="9"/>
      <c r="H82" s="9"/>
      <c r="I82" s="9"/>
      <c r="J82" s="9"/>
      <c r="K82" s="9"/>
      <c r="L82" s="9"/>
    </row>
    <row r="83" spans="2:12" x14ac:dyDescent="0.35">
      <c r="B83" s="10"/>
      <c r="C83" s="9"/>
      <c r="D83" s="11"/>
      <c r="E83" s="13"/>
      <c r="F83" s="13"/>
      <c r="G83" s="9"/>
      <c r="H83" s="9"/>
      <c r="I83" s="9"/>
      <c r="J83" s="9"/>
      <c r="K83" s="9"/>
      <c r="L83" s="9"/>
    </row>
    <row r="84" spans="2:12" x14ac:dyDescent="0.35">
      <c r="B84" s="10"/>
      <c r="C84" s="9"/>
      <c r="D84" s="11"/>
      <c r="E84" s="13"/>
      <c r="F84" s="13"/>
      <c r="G84" s="9"/>
      <c r="H84" s="9"/>
      <c r="I84" s="9"/>
      <c r="J84" s="9"/>
      <c r="K84" s="9"/>
      <c r="L84" s="9"/>
    </row>
    <row r="85" spans="2:12" x14ac:dyDescent="0.35">
      <c r="B85" s="16" t="s">
        <v>41</v>
      </c>
      <c r="C85" s="9"/>
      <c r="D85" s="11"/>
      <c r="E85" s="13"/>
      <c r="F85" s="13"/>
      <c r="G85" s="9"/>
      <c r="H85" s="9"/>
      <c r="I85" s="9"/>
      <c r="J85" s="9"/>
      <c r="K85" s="9"/>
      <c r="L85" s="9"/>
    </row>
    <row r="86" spans="2:12" x14ac:dyDescent="0.35">
      <c r="B86" s="10" t="s">
        <v>129</v>
      </c>
      <c r="C86" s="9"/>
      <c r="D86" s="11"/>
      <c r="E86" s="9">
        <v>54000</v>
      </c>
      <c r="F86" s="13"/>
      <c r="G86" s="9"/>
      <c r="H86" s="9"/>
      <c r="I86" s="9"/>
      <c r="J86" s="9"/>
      <c r="K86" s="9"/>
      <c r="L86" s="9"/>
    </row>
    <row r="87" spans="2:12" x14ac:dyDescent="0.35">
      <c r="B87" s="16"/>
      <c r="C87" s="9"/>
      <c r="D87" s="11"/>
      <c r="E87" s="12"/>
      <c r="F87" s="13"/>
      <c r="G87" s="9"/>
      <c r="H87" s="9"/>
      <c r="I87" s="9"/>
      <c r="J87" s="9"/>
      <c r="K87" s="9"/>
      <c r="L87" s="9"/>
    </row>
    <row r="88" spans="2:12" x14ac:dyDescent="0.35">
      <c r="B88" s="15"/>
      <c r="C88" s="80" t="s">
        <v>217</v>
      </c>
      <c r="D88" s="11"/>
      <c r="E88" s="9"/>
      <c r="F88" s="13">
        <f>SUM(E86:E87)</f>
        <v>54000</v>
      </c>
      <c r="G88" s="9"/>
      <c r="H88" s="9"/>
      <c r="I88" s="9"/>
      <c r="J88" s="9"/>
      <c r="K88" s="9"/>
      <c r="L88" s="9"/>
    </row>
    <row r="89" spans="2:12" x14ac:dyDescent="0.35">
      <c r="B89" s="10"/>
      <c r="C89" s="9"/>
      <c r="D89" s="11"/>
      <c r="F89" s="12"/>
      <c r="G89" s="9"/>
      <c r="H89" s="9"/>
      <c r="I89" s="9"/>
      <c r="J89" s="9"/>
      <c r="K89" s="9"/>
      <c r="L89" s="9"/>
    </row>
    <row r="90" spans="2:12" x14ac:dyDescent="0.35">
      <c r="B90" s="10"/>
      <c r="D90" s="15" t="s">
        <v>42</v>
      </c>
      <c r="E90" s="13"/>
      <c r="F90" s="27">
        <f>SUM(F78:F89)</f>
        <v>135121</v>
      </c>
      <c r="G90" s="9"/>
      <c r="H90" s="9"/>
      <c r="I90" s="9"/>
      <c r="J90" s="9"/>
      <c r="K90" s="9"/>
      <c r="L90" s="9"/>
    </row>
    <row r="91" spans="2:12" ht="15" thickBot="1" x14ac:dyDescent="0.4">
      <c r="B91" s="10"/>
      <c r="C91" s="15"/>
      <c r="D91" s="11"/>
      <c r="E91" s="13"/>
      <c r="F91" s="13"/>
      <c r="G91" s="9"/>
      <c r="H91" s="9"/>
      <c r="I91" s="9"/>
      <c r="J91" s="9"/>
      <c r="K91" s="9"/>
      <c r="L91" s="9"/>
    </row>
    <row r="92" spans="2:12" ht="15" thickBot="1" x14ac:dyDescent="0.4">
      <c r="B92" s="16"/>
      <c r="C92" s="77" t="s">
        <v>73</v>
      </c>
      <c r="D92" s="11"/>
      <c r="E92" s="13"/>
      <c r="F92" s="13"/>
      <c r="G92" s="9"/>
      <c r="H92" s="9"/>
      <c r="I92" s="9"/>
      <c r="J92" s="9"/>
      <c r="K92" s="9"/>
      <c r="L92" s="9"/>
    </row>
    <row r="93" spans="2:12" x14ac:dyDescent="0.35">
      <c r="B93" s="16" t="s">
        <v>212</v>
      </c>
      <c r="C93" s="9"/>
      <c r="D93" s="11"/>
      <c r="E93" s="13"/>
      <c r="F93" s="13"/>
      <c r="G93" s="9"/>
      <c r="H93" s="9"/>
      <c r="I93" s="9"/>
      <c r="J93" s="9"/>
      <c r="K93" s="9"/>
      <c r="L93" s="9"/>
    </row>
    <row r="94" spans="2:12" x14ac:dyDescent="0.35">
      <c r="B94" s="10" t="s">
        <v>207</v>
      </c>
      <c r="C94" s="9"/>
      <c r="D94" s="11"/>
      <c r="E94" s="13">
        <f>E43</f>
        <v>200000</v>
      </c>
      <c r="F94" s="13"/>
      <c r="G94" s="9"/>
      <c r="H94" s="9"/>
      <c r="I94" s="9"/>
      <c r="J94" s="9"/>
      <c r="K94" s="9"/>
      <c r="L94" s="9"/>
    </row>
    <row r="95" spans="2:12" x14ac:dyDescent="0.35">
      <c r="B95" s="10" t="s">
        <v>213</v>
      </c>
      <c r="C95" s="9"/>
      <c r="D95" s="11"/>
      <c r="E95" s="13">
        <f>F43</f>
        <v>209800</v>
      </c>
      <c r="F95" s="13"/>
      <c r="G95" s="9"/>
      <c r="H95" s="9"/>
      <c r="I95" s="9"/>
      <c r="J95" s="9"/>
      <c r="K95" s="9"/>
      <c r="L95" s="9"/>
    </row>
    <row r="96" spans="2:12" x14ac:dyDescent="0.35">
      <c r="B96" s="16" t="s">
        <v>13</v>
      </c>
      <c r="C96" s="9"/>
      <c r="D96" s="11"/>
      <c r="E96" s="12">
        <f>G43</f>
        <v>339789.25</v>
      </c>
      <c r="F96" s="13"/>
      <c r="G96" s="9"/>
      <c r="H96" s="9"/>
      <c r="I96" s="9"/>
      <c r="J96" s="9"/>
      <c r="K96" s="9"/>
      <c r="L96" s="9"/>
    </row>
    <row r="97" spans="2:12" x14ac:dyDescent="0.35">
      <c r="B97" s="10"/>
      <c r="C97" s="15" t="s">
        <v>77</v>
      </c>
      <c r="D97" s="11"/>
      <c r="E97" s="13"/>
      <c r="F97" s="12">
        <f>SUM(E94:E96)</f>
        <v>749589.25</v>
      </c>
      <c r="G97" s="9"/>
      <c r="H97" s="9"/>
      <c r="I97" s="9"/>
      <c r="J97" s="9"/>
      <c r="K97" s="9"/>
      <c r="L97" s="9"/>
    </row>
    <row r="98" spans="2:12" x14ac:dyDescent="0.35">
      <c r="B98" s="10"/>
      <c r="C98" s="9"/>
      <c r="D98" s="11"/>
      <c r="E98" s="13"/>
      <c r="F98" s="13"/>
      <c r="G98" s="9"/>
      <c r="H98" s="9"/>
      <c r="I98" s="9"/>
      <c r="J98" s="9"/>
      <c r="K98" s="9"/>
      <c r="L98" s="9"/>
    </row>
    <row r="99" spans="2:12" ht="15" thickBot="1" x14ac:dyDescent="0.4">
      <c r="B99" s="10"/>
      <c r="C99" s="15" t="s">
        <v>43</v>
      </c>
      <c r="D99" s="11"/>
      <c r="E99" s="13"/>
      <c r="F99" s="19">
        <f>F90+F97</f>
        <v>884710.25</v>
      </c>
      <c r="G99" s="9"/>
      <c r="H99" s="9"/>
      <c r="I99" s="9"/>
      <c r="J99" s="9"/>
      <c r="K99" s="9"/>
      <c r="L99" s="9"/>
    </row>
    <row r="100" spans="2:12" ht="15" thickTop="1" x14ac:dyDescent="0.35">
      <c r="B100" s="10"/>
      <c r="C100" s="9"/>
      <c r="D100" s="11"/>
      <c r="E100" s="13"/>
      <c r="F100" s="13"/>
    </row>
    <row r="101" spans="2:12" ht="15" thickBot="1" x14ac:dyDescent="0.4">
      <c r="B101" s="21"/>
      <c r="C101" s="26"/>
      <c r="D101" s="23"/>
      <c r="E101" s="24"/>
      <c r="F101" s="24"/>
    </row>
    <row r="102" spans="2:12" x14ac:dyDescent="0.35">
      <c r="B102" s="9"/>
      <c r="C102" s="9"/>
      <c r="D102" s="9"/>
      <c r="E102" s="9"/>
      <c r="F102" s="9"/>
    </row>
    <row r="103" spans="2:12" x14ac:dyDescent="0.35">
      <c r="B103" s="9"/>
      <c r="C103" s="9"/>
      <c r="D103" s="9"/>
      <c r="E103" s="9"/>
      <c r="F103" s="9"/>
    </row>
  </sheetData>
  <mergeCells count="11">
    <mergeCell ref="B37:H37"/>
    <mergeCell ref="B1:F1"/>
    <mergeCell ref="B2:F2"/>
    <mergeCell ref="B3:F3"/>
    <mergeCell ref="B34:H35"/>
    <mergeCell ref="B36:H36"/>
    <mergeCell ref="B47:F47"/>
    <mergeCell ref="B48:F48"/>
    <mergeCell ref="B49:F49"/>
    <mergeCell ref="B50:F50"/>
    <mergeCell ref="B75:F75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5"/>
  <sheetViews>
    <sheetView topLeftCell="C31" zoomScaleNormal="100" workbookViewId="0">
      <selection activeCell="D35" sqref="D35"/>
    </sheetView>
  </sheetViews>
  <sheetFormatPr defaultRowHeight="14.5" x14ac:dyDescent="0.35"/>
  <cols>
    <col min="4" max="4" width="43.26953125" customWidth="1"/>
    <col min="5" max="5" width="11" customWidth="1"/>
    <col min="6" max="6" width="10" bestFit="1" customWidth="1"/>
    <col min="9" max="9" width="10" bestFit="1" customWidth="1"/>
  </cols>
  <sheetData>
    <row r="1" spans="1:10" x14ac:dyDescent="0.35">
      <c r="A1" t="s">
        <v>112</v>
      </c>
    </row>
    <row r="3" spans="1:10" x14ac:dyDescent="0.35">
      <c r="D3" t="s">
        <v>158</v>
      </c>
    </row>
    <row r="4" spans="1:10" x14ac:dyDescent="0.35">
      <c r="D4" s="1"/>
      <c r="E4" s="1" t="s">
        <v>171</v>
      </c>
    </row>
    <row r="5" spans="1:10" x14ac:dyDescent="0.35">
      <c r="D5" s="1" t="s">
        <v>2</v>
      </c>
      <c r="E5" s="2">
        <v>7540</v>
      </c>
      <c r="F5" s="65"/>
      <c r="I5" s="4"/>
      <c r="J5" s="4"/>
    </row>
    <row r="6" spans="1:10" x14ac:dyDescent="0.35">
      <c r="D6" s="1" t="s">
        <v>83</v>
      </c>
      <c r="E6" s="2">
        <v>22320</v>
      </c>
      <c r="F6" s="65"/>
      <c r="I6" s="4"/>
      <c r="J6" s="4"/>
    </row>
    <row r="7" spans="1:10" x14ac:dyDescent="0.35">
      <c r="D7" s="1" t="s">
        <v>159</v>
      </c>
      <c r="E7" s="2">
        <v>36000</v>
      </c>
      <c r="F7" s="65"/>
      <c r="I7" s="4"/>
      <c r="J7" s="4"/>
    </row>
    <row r="8" spans="1:10" x14ac:dyDescent="0.35">
      <c r="D8" s="1" t="s">
        <v>5</v>
      </c>
      <c r="E8" s="2">
        <v>1000</v>
      </c>
      <c r="F8" s="65"/>
      <c r="I8" s="4"/>
      <c r="J8" s="4"/>
    </row>
    <row r="9" spans="1:10" x14ac:dyDescent="0.35">
      <c r="D9" s="1" t="s">
        <v>160</v>
      </c>
      <c r="E9" s="2">
        <v>9400</v>
      </c>
      <c r="F9" s="65"/>
      <c r="I9" s="4"/>
      <c r="J9" s="4"/>
    </row>
    <row r="10" spans="1:10" x14ac:dyDescent="0.35">
      <c r="D10" s="1" t="s">
        <v>9</v>
      </c>
      <c r="E10" s="2">
        <v>23040</v>
      </c>
      <c r="F10" s="65"/>
      <c r="I10" s="4"/>
      <c r="J10" s="4"/>
    </row>
    <row r="11" spans="1:10" x14ac:dyDescent="0.35">
      <c r="D11" s="1" t="s">
        <v>161</v>
      </c>
      <c r="E11" s="2">
        <v>9900</v>
      </c>
      <c r="I11" s="4"/>
      <c r="J11" s="4"/>
    </row>
    <row r="12" spans="1:10" x14ac:dyDescent="0.35">
      <c r="D12" s="1" t="s">
        <v>6</v>
      </c>
      <c r="E12" s="2">
        <v>62300</v>
      </c>
      <c r="F12" s="65"/>
      <c r="I12" s="4"/>
      <c r="J12" s="4"/>
    </row>
    <row r="13" spans="1:10" x14ac:dyDescent="0.35">
      <c r="D13" s="1" t="s">
        <v>162</v>
      </c>
      <c r="E13" s="2">
        <v>7500</v>
      </c>
      <c r="I13" s="4"/>
      <c r="J13" s="4"/>
    </row>
    <row r="14" spans="1:10" x14ac:dyDescent="0.35">
      <c r="D14" s="1" t="s">
        <v>163</v>
      </c>
      <c r="E14" s="2">
        <v>70000</v>
      </c>
      <c r="F14" s="65"/>
      <c r="I14" s="4"/>
      <c r="J14" s="4"/>
    </row>
    <row r="15" spans="1:10" x14ac:dyDescent="0.35">
      <c r="D15" s="1" t="s">
        <v>8</v>
      </c>
      <c r="E15" s="2">
        <v>9720</v>
      </c>
      <c r="I15" s="4"/>
      <c r="J15" s="4"/>
    </row>
    <row r="16" spans="1:10" x14ac:dyDescent="0.35">
      <c r="D16" s="1" t="s">
        <v>169</v>
      </c>
      <c r="E16" s="2">
        <v>30800</v>
      </c>
      <c r="I16" s="4"/>
      <c r="J16" s="4"/>
    </row>
    <row r="17" spans="4:10" x14ac:dyDescent="0.35">
      <c r="D17" s="1" t="s">
        <v>164</v>
      </c>
      <c r="E17" s="2">
        <v>40000</v>
      </c>
      <c r="I17" s="4"/>
      <c r="J17" s="4"/>
    </row>
    <row r="18" spans="4:10" x14ac:dyDescent="0.35">
      <c r="D18" s="1" t="s">
        <v>119</v>
      </c>
      <c r="E18" s="2">
        <v>41960</v>
      </c>
      <c r="I18" s="4"/>
      <c r="J18" s="4"/>
    </row>
    <row r="19" spans="4:10" x14ac:dyDescent="0.35">
      <c r="D19" s="1" t="s">
        <v>13</v>
      </c>
      <c r="E19" s="2">
        <v>59000</v>
      </c>
      <c r="I19" s="4"/>
      <c r="J19" s="4"/>
    </row>
    <row r="20" spans="4:10" x14ac:dyDescent="0.35">
      <c r="D20" s="1" t="s">
        <v>14</v>
      </c>
      <c r="E20" s="2">
        <v>540720</v>
      </c>
      <c r="I20" s="4"/>
      <c r="J20" s="4"/>
    </row>
    <row r="21" spans="4:10" x14ac:dyDescent="0.35">
      <c r="D21" s="1" t="s">
        <v>15</v>
      </c>
      <c r="E21" s="2">
        <v>7560</v>
      </c>
      <c r="F21" s="65"/>
      <c r="J21" s="4"/>
    </row>
    <row r="22" spans="4:10" x14ac:dyDescent="0.35">
      <c r="D22" s="1" t="s">
        <v>121</v>
      </c>
      <c r="E22" s="2">
        <v>3960</v>
      </c>
      <c r="F22" s="65"/>
      <c r="I22" s="4"/>
      <c r="J22" s="4"/>
    </row>
    <row r="23" spans="4:10" x14ac:dyDescent="0.35">
      <c r="D23" s="1" t="s">
        <v>17</v>
      </c>
      <c r="E23" s="2">
        <v>75600</v>
      </c>
      <c r="F23" s="65"/>
      <c r="I23" s="4"/>
      <c r="J23" s="4"/>
    </row>
    <row r="24" spans="4:10" x14ac:dyDescent="0.35">
      <c r="D24" s="1" t="s">
        <v>16</v>
      </c>
      <c r="E24" s="2">
        <v>385200</v>
      </c>
      <c r="F24" s="65"/>
      <c r="I24" s="4"/>
    </row>
    <row r="25" spans="4:10" x14ac:dyDescent="0.35">
      <c r="D25" s="1" t="s">
        <v>165</v>
      </c>
      <c r="E25" s="2">
        <v>4580</v>
      </c>
      <c r="F25" s="65"/>
      <c r="I25" s="4"/>
      <c r="J25" s="4"/>
    </row>
    <row r="26" spans="4:10" x14ac:dyDescent="0.35">
      <c r="D26" s="1" t="s">
        <v>47</v>
      </c>
      <c r="E26" s="2">
        <v>7760</v>
      </c>
      <c r="F26" s="65"/>
      <c r="I26" s="4"/>
      <c r="J26" s="4"/>
    </row>
    <row r="27" spans="4:10" x14ac:dyDescent="0.35">
      <c r="D27" s="1" t="s">
        <v>21</v>
      </c>
      <c r="E27" s="2">
        <v>10460</v>
      </c>
      <c r="F27" s="65"/>
      <c r="I27" s="4"/>
      <c r="J27" s="4"/>
    </row>
    <row r="28" spans="4:10" x14ac:dyDescent="0.35">
      <c r="D28" s="1" t="s">
        <v>167</v>
      </c>
      <c r="E28" s="2">
        <v>3300</v>
      </c>
      <c r="F28" s="65"/>
      <c r="I28" s="4"/>
      <c r="J28" s="4"/>
    </row>
    <row r="29" spans="4:10" x14ac:dyDescent="0.35">
      <c r="D29" s="1" t="s">
        <v>122</v>
      </c>
      <c r="E29" s="2">
        <v>10180</v>
      </c>
      <c r="F29" s="65"/>
      <c r="I29" s="4"/>
      <c r="J29" s="4"/>
    </row>
    <row r="30" spans="4:10" x14ac:dyDescent="0.35">
      <c r="D30" s="1" t="s">
        <v>166</v>
      </c>
      <c r="E30" s="2">
        <v>3200</v>
      </c>
      <c r="I30" s="4"/>
      <c r="J30" s="4"/>
    </row>
    <row r="31" spans="4:10" x14ac:dyDescent="0.35">
      <c r="D31" s="1" t="s">
        <v>200</v>
      </c>
      <c r="E31" s="2">
        <v>2600</v>
      </c>
      <c r="F31" s="65"/>
      <c r="I31" s="4"/>
      <c r="J31" s="4"/>
    </row>
    <row r="32" spans="4:10" x14ac:dyDescent="0.35">
      <c r="D32" s="3"/>
      <c r="E32" s="2"/>
      <c r="F32" s="65"/>
      <c r="I32" s="4">
        <f>F32*2</f>
        <v>0</v>
      </c>
    </row>
    <row r="34" spans="4:4" x14ac:dyDescent="0.35">
      <c r="D34" s="62" t="s">
        <v>104</v>
      </c>
    </row>
    <row r="35" spans="4:4" x14ac:dyDescent="0.35">
      <c r="D35" t="s">
        <v>199</v>
      </c>
    </row>
    <row r="36" spans="4:4" x14ac:dyDescent="0.35">
      <c r="D36" t="s">
        <v>198</v>
      </c>
    </row>
    <row r="37" spans="4:4" x14ac:dyDescent="0.35">
      <c r="D37" t="s">
        <v>168</v>
      </c>
    </row>
    <row r="38" spans="4:4" x14ac:dyDescent="0.35">
      <c r="D38" t="s">
        <v>172</v>
      </c>
    </row>
    <row r="39" spans="4:4" x14ac:dyDescent="0.35">
      <c r="D39" t="s">
        <v>170</v>
      </c>
    </row>
    <row r="40" spans="4:4" x14ac:dyDescent="0.35">
      <c r="D40" t="s">
        <v>203</v>
      </c>
    </row>
    <row r="43" spans="4:4" x14ac:dyDescent="0.35">
      <c r="D43" t="s">
        <v>250</v>
      </c>
    </row>
    <row r="44" spans="4:4" x14ac:dyDescent="0.35">
      <c r="D44" t="s">
        <v>251</v>
      </c>
    </row>
    <row r="45" spans="4:4" x14ac:dyDescent="0.35">
      <c r="D45" t="s">
        <v>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101"/>
  <sheetViews>
    <sheetView topLeftCell="A28" workbookViewId="0">
      <selection activeCell="B36" sqref="B36:H36"/>
    </sheetView>
  </sheetViews>
  <sheetFormatPr defaultRowHeight="14.5" x14ac:dyDescent="0.35"/>
  <cols>
    <col min="3" max="3" width="30.7265625" customWidth="1"/>
    <col min="4" max="4" width="8.7265625" customWidth="1"/>
    <col min="5" max="5" width="14.7265625" customWidth="1"/>
    <col min="6" max="6" width="23.54296875" customWidth="1"/>
    <col min="7" max="7" width="16.26953125" customWidth="1"/>
    <col min="8" max="8" width="16.1796875" customWidth="1"/>
    <col min="9" max="9" width="24" customWidth="1"/>
  </cols>
  <sheetData>
    <row r="1" spans="2:10" x14ac:dyDescent="0.35">
      <c r="B1" s="92" t="s">
        <v>215</v>
      </c>
      <c r="C1" s="92"/>
      <c r="D1" s="92"/>
      <c r="E1" s="92"/>
      <c r="F1" s="92"/>
    </row>
    <row r="2" spans="2:10" x14ac:dyDescent="0.35">
      <c r="B2" s="92" t="s">
        <v>32</v>
      </c>
      <c r="C2" s="92"/>
      <c r="D2" s="92"/>
      <c r="E2" s="92"/>
      <c r="F2" s="92"/>
    </row>
    <row r="3" spans="2:10" ht="15" thickBot="1" x14ac:dyDescent="0.4">
      <c r="B3" s="92" t="s">
        <v>44</v>
      </c>
      <c r="C3" s="92"/>
      <c r="D3" s="92"/>
      <c r="E3" s="92"/>
      <c r="F3" s="92"/>
      <c r="J3" s="65"/>
    </row>
    <row r="4" spans="2:10" x14ac:dyDescent="0.35">
      <c r="B4" s="5" t="s">
        <v>14</v>
      </c>
      <c r="C4" s="6"/>
      <c r="D4" s="7"/>
      <c r="E4" s="8">
        <v>540720</v>
      </c>
      <c r="F4" s="8"/>
      <c r="G4" s="9"/>
      <c r="J4" s="65"/>
    </row>
    <row r="5" spans="2:10" x14ac:dyDescent="0.35">
      <c r="B5" s="10" t="s">
        <v>173</v>
      </c>
      <c r="C5" s="9"/>
      <c r="D5" s="11"/>
      <c r="E5" s="13">
        <v>7560</v>
      </c>
      <c r="F5" s="13"/>
      <c r="G5" s="9"/>
      <c r="J5" s="65"/>
    </row>
    <row r="6" spans="2:10" x14ac:dyDescent="0.35">
      <c r="B6" s="10" t="s">
        <v>141</v>
      </c>
      <c r="C6" s="15"/>
      <c r="D6" s="11"/>
      <c r="E6" s="12">
        <v>3960</v>
      </c>
      <c r="F6" s="13"/>
      <c r="G6" s="9"/>
      <c r="J6" s="65"/>
    </row>
    <row r="7" spans="2:10" x14ac:dyDescent="0.35">
      <c r="B7" s="10"/>
      <c r="C7" s="15" t="s">
        <v>56</v>
      </c>
      <c r="D7" s="11"/>
      <c r="E7" s="10"/>
      <c r="F7" s="66">
        <f>E4-E5-E6</f>
        <v>529200</v>
      </c>
      <c r="G7" s="9"/>
      <c r="J7" s="65"/>
    </row>
    <row r="8" spans="2:10" x14ac:dyDescent="0.35">
      <c r="B8" s="10" t="s">
        <v>174</v>
      </c>
      <c r="C8" s="15"/>
      <c r="D8" s="11"/>
      <c r="E8" s="10"/>
      <c r="F8" s="12">
        <f>385200+800</f>
        <v>386000</v>
      </c>
      <c r="G8" s="9"/>
      <c r="J8" s="65"/>
    </row>
    <row r="9" spans="2:10" x14ac:dyDescent="0.35">
      <c r="B9" s="16"/>
      <c r="C9" s="15" t="s">
        <v>57</v>
      </c>
      <c r="D9" s="11"/>
      <c r="E9" s="10"/>
      <c r="F9" s="13">
        <f>F7-F8</f>
        <v>143200</v>
      </c>
      <c r="G9" s="9"/>
      <c r="J9" s="65"/>
    </row>
    <row r="10" spans="2:10" x14ac:dyDescent="0.35">
      <c r="B10" s="40"/>
      <c r="C10" s="9"/>
      <c r="D10" s="11"/>
      <c r="E10" s="10"/>
      <c r="F10" s="17"/>
      <c r="G10" s="9"/>
      <c r="J10" s="65"/>
    </row>
    <row r="11" spans="2:10" x14ac:dyDescent="0.35">
      <c r="B11" s="16" t="s">
        <v>175</v>
      </c>
      <c r="C11" s="9"/>
      <c r="D11" s="11"/>
      <c r="E11" s="10"/>
      <c r="F11" s="17"/>
      <c r="G11" s="9"/>
      <c r="J11" s="65"/>
    </row>
    <row r="12" spans="2:10" x14ac:dyDescent="0.35">
      <c r="B12" s="10" t="s">
        <v>176</v>
      </c>
      <c r="C12" s="9"/>
      <c r="D12" s="11"/>
      <c r="E12" s="13">
        <v>800</v>
      </c>
      <c r="F12" s="17"/>
      <c r="G12" s="9"/>
      <c r="J12" s="65"/>
    </row>
    <row r="13" spans="2:10" x14ac:dyDescent="0.35">
      <c r="B13" s="10" t="s">
        <v>17</v>
      </c>
      <c r="C13" s="9"/>
      <c r="D13" s="11"/>
      <c r="E13" s="13">
        <v>75600</v>
      </c>
      <c r="F13" s="17"/>
      <c r="G13" s="9"/>
      <c r="J13" s="65"/>
    </row>
    <row r="14" spans="2:10" x14ac:dyDescent="0.35">
      <c r="B14" s="10" t="s">
        <v>47</v>
      </c>
      <c r="C14" s="9"/>
      <c r="D14" s="11"/>
      <c r="E14" s="13">
        <v>7760</v>
      </c>
      <c r="F14" s="17"/>
      <c r="G14" s="9"/>
      <c r="J14" s="65"/>
    </row>
    <row r="15" spans="2:10" x14ac:dyDescent="0.35">
      <c r="B15" s="10" t="s">
        <v>21</v>
      </c>
      <c r="C15" s="9"/>
      <c r="D15" s="11"/>
      <c r="E15" s="13">
        <v>10460</v>
      </c>
      <c r="F15" s="17"/>
      <c r="G15" s="9"/>
      <c r="J15" s="65"/>
    </row>
    <row r="16" spans="2:10" x14ac:dyDescent="0.35">
      <c r="B16" s="10" t="s">
        <v>122</v>
      </c>
      <c r="C16" s="9"/>
      <c r="D16" s="11"/>
      <c r="E16" s="13">
        <v>10180</v>
      </c>
      <c r="F16" s="17"/>
      <c r="G16" s="9"/>
      <c r="J16" s="65"/>
    </row>
    <row r="17" spans="2:10" x14ac:dyDescent="0.35">
      <c r="B17" s="10" t="s">
        <v>177</v>
      </c>
      <c r="C17" s="9"/>
      <c r="D17" s="11"/>
      <c r="E17" s="13">
        <v>2600</v>
      </c>
      <c r="F17" s="17"/>
      <c r="G17" s="9"/>
      <c r="J17" s="65"/>
    </row>
    <row r="18" spans="2:10" x14ac:dyDescent="0.35">
      <c r="B18" s="10" t="s">
        <v>178</v>
      </c>
      <c r="C18" s="9"/>
      <c r="D18" s="11"/>
      <c r="E18" s="13">
        <f>23040*0.2</f>
        <v>4608</v>
      </c>
      <c r="F18" s="13"/>
      <c r="G18" s="9"/>
      <c r="J18" s="65"/>
    </row>
    <row r="19" spans="2:10" x14ac:dyDescent="0.35">
      <c r="B19" s="10" t="s">
        <v>179</v>
      </c>
      <c r="C19" s="9"/>
      <c r="D19" s="11"/>
      <c r="E19" s="12">
        <f>54800*0.3</f>
        <v>16440</v>
      </c>
      <c r="F19" s="13"/>
      <c r="G19" s="9"/>
      <c r="J19" s="65"/>
    </row>
    <row r="20" spans="2:10" x14ac:dyDescent="0.35">
      <c r="B20" s="10"/>
      <c r="C20" s="9"/>
      <c r="D20" s="11"/>
      <c r="E20" s="10"/>
      <c r="F20" s="13"/>
      <c r="G20" s="9"/>
      <c r="J20" s="65"/>
    </row>
    <row r="21" spans="2:10" x14ac:dyDescent="0.35">
      <c r="B21" s="18" t="s">
        <v>60</v>
      </c>
      <c r="C21" s="9"/>
      <c r="D21" s="11"/>
      <c r="E21" s="10"/>
      <c r="F21" s="12">
        <f>SUM(E12:E19)</f>
        <v>128448</v>
      </c>
      <c r="G21" s="9"/>
      <c r="J21" s="65"/>
    </row>
    <row r="22" spans="2:10" x14ac:dyDescent="0.35">
      <c r="B22" s="18"/>
      <c r="C22" s="62" t="s">
        <v>180</v>
      </c>
      <c r="D22" s="11"/>
      <c r="E22" s="10"/>
      <c r="F22" s="13">
        <f>F9-F21</f>
        <v>14752</v>
      </c>
      <c r="G22" s="9"/>
      <c r="J22" s="65"/>
    </row>
    <row r="23" spans="2:10" x14ac:dyDescent="0.35">
      <c r="B23" s="18" t="s">
        <v>62</v>
      </c>
      <c r="C23" s="15"/>
      <c r="D23" s="11"/>
      <c r="E23" s="10"/>
      <c r="F23" s="13"/>
      <c r="G23" s="9"/>
      <c r="J23" s="65"/>
    </row>
    <row r="24" spans="2:10" x14ac:dyDescent="0.35">
      <c r="B24" s="10" t="s">
        <v>181</v>
      </c>
      <c r="C24" s="15"/>
      <c r="D24" s="11"/>
      <c r="E24" s="13">
        <v>3200</v>
      </c>
      <c r="F24" s="13"/>
      <c r="G24" s="9"/>
      <c r="J24" s="65"/>
    </row>
    <row r="25" spans="2:10" x14ac:dyDescent="0.35">
      <c r="B25" s="40"/>
      <c r="C25" s="15"/>
      <c r="D25" s="11"/>
      <c r="E25" s="13"/>
      <c r="F25" s="13"/>
      <c r="J25" s="65"/>
    </row>
    <row r="26" spans="2:10" x14ac:dyDescent="0.35">
      <c r="B26" s="18" t="s">
        <v>64</v>
      </c>
      <c r="C26" s="9"/>
      <c r="D26" s="11"/>
      <c r="E26" s="13"/>
      <c r="F26" s="13"/>
      <c r="G26" s="9"/>
      <c r="J26" s="65"/>
    </row>
    <row r="27" spans="2:10" x14ac:dyDescent="0.35">
      <c r="B27" s="10" t="s">
        <v>165</v>
      </c>
      <c r="C27" s="9"/>
      <c r="D27" s="11"/>
      <c r="E27" s="12">
        <v>-4580</v>
      </c>
      <c r="F27" s="12">
        <f>E24+E27</f>
        <v>-1380</v>
      </c>
      <c r="G27" s="9"/>
      <c r="J27" s="65"/>
    </row>
    <row r="28" spans="2:10" x14ac:dyDescent="0.35">
      <c r="B28" s="40"/>
      <c r="C28" s="15" t="s">
        <v>182</v>
      </c>
      <c r="D28" s="11"/>
      <c r="E28" s="10"/>
      <c r="F28" s="27">
        <f>F22+F27</f>
        <v>13372</v>
      </c>
      <c r="G28" s="9"/>
      <c r="J28" s="65"/>
    </row>
    <row r="29" spans="2:10" x14ac:dyDescent="0.35">
      <c r="B29" s="10" t="s">
        <v>243</v>
      </c>
      <c r="C29" s="9"/>
      <c r="D29" s="11"/>
      <c r="E29" s="10"/>
      <c r="F29" s="67">
        <v>4620</v>
      </c>
      <c r="G29" s="9"/>
      <c r="J29" s="65"/>
    </row>
    <row r="30" spans="2:10" x14ac:dyDescent="0.35">
      <c r="B30" s="10"/>
      <c r="C30" s="15" t="s">
        <v>183</v>
      </c>
      <c r="D30" s="11"/>
      <c r="E30" s="10"/>
      <c r="F30" s="68">
        <f>F28-F29</f>
        <v>8752</v>
      </c>
      <c r="G30" s="9"/>
      <c r="J30" s="65"/>
    </row>
    <row r="31" spans="2:10" x14ac:dyDescent="0.35">
      <c r="B31" s="10" t="s">
        <v>244</v>
      </c>
      <c r="C31" s="9"/>
      <c r="D31" s="11"/>
      <c r="E31" s="10"/>
      <c r="F31" s="67">
        <f>F30*0.3</f>
        <v>2625.6</v>
      </c>
      <c r="G31" s="9"/>
      <c r="I31" s="59"/>
      <c r="J31" s="65"/>
    </row>
    <row r="32" spans="2:10" ht="15" thickBot="1" x14ac:dyDescent="0.4">
      <c r="B32" s="10"/>
      <c r="C32" s="15" t="s">
        <v>68</v>
      </c>
      <c r="D32" s="11"/>
      <c r="E32" s="10"/>
      <c r="F32" s="19">
        <f>F30-F31</f>
        <v>6126.4</v>
      </c>
      <c r="G32" s="9"/>
    </row>
    <row r="33" spans="2:12" ht="15.5" thickTop="1" thickBot="1" x14ac:dyDescent="0.4">
      <c r="B33" s="21"/>
      <c r="C33" s="26"/>
      <c r="D33" s="23"/>
      <c r="E33" s="21"/>
      <c r="F33" s="24"/>
      <c r="G33" s="9"/>
      <c r="I33" s="62"/>
    </row>
    <row r="34" spans="2:12" x14ac:dyDescent="0.35">
      <c r="B34" s="94" t="s">
        <v>215</v>
      </c>
      <c r="C34" s="94"/>
      <c r="D34" s="94"/>
      <c r="E34" s="94"/>
      <c r="F34" s="94"/>
      <c r="G34" s="94"/>
      <c r="H34" s="94"/>
    </row>
    <row r="35" spans="2:12" x14ac:dyDescent="0.35">
      <c r="B35" s="94"/>
      <c r="C35" s="94"/>
      <c r="D35" s="94"/>
      <c r="E35" s="94"/>
      <c r="F35" s="94"/>
      <c r="G35" s="94"/>
      <c r="H35" s="94"/>
    </row>
    <row r="36" spans="2:12" x14ac:dyDescent="0.35">
      <c r="B36" s="94" t="s">
        <v>271</v>
      </c>
      <c r="C36" s="94"/>
      <c r="D36" s="94"/>
      <c r="E36" s="94"/>
      <c r="F36" s="94"/>
      <c r="G36" s="94"/>
      <c r="H36" s="94"/>
    </row>
    <row r="37" spans="2:12" ht="15" thickBot="1" x14ac:dyDescent="0.4">
      <c r="B37" s="94" t="s">
        <v>44</v>
      </c>
      <c r="C37" s="94"/>
      <c r="D37" s="94"/>
      <c r="E37" s="94"/>
      <c r="F37" s="94"/>
      <c r="G37" s="94"/>
      <c r="H37" s="94"/>
    </row>
    <row r="38" spans="2:12" ht="15" thickBot="1" x14ac:dyDescent="0.4">
      <c r="B38" s="5"/>
      <c r="C38" s="6"/>
      <c r="D38" s="7"/>
      <c r="E38" s="35" t="s">
        <v>11</v>
      </c>
      <c r="F38" s="69" t="s">
        <v>52</v>
      </c>
      <c r="G38" s="69" t="s">
        <v>13</v>
      </c>
      <c r="H38" s="36" t="s">
        <v>31</v>
      </c>
    </row>
    <row r="39" spans="2:12" x14ac:dyDescent="0.35">
      <c r="B39" s="18" t="s">
        <v>184</v>
      </c>
      <c r="C39" s="9"/>
      <c r="D39" s="11"/>
      <c r="E39" s="8">
        <v>40000</v>
      </c>
      <c r="F39" s="5">
        <v>41960</v>
      </c>
      <c r="G39" s="5">
        <v>59000</v>
      </c>
      <c r="H39" s="13">
        <f>SUM(E39:G39)</f>
        <v>140960</v>
      </c>
    </row>
    <row r="40" spans="2:12" x14ac:dyDescent="0.35">
      <c r="B40" s="18" t="s">
        <v>195</v>
      </c>
      <c r="C40" s="9"/>
      <c r="D40" s="11"/>
      <c r="E40" s="13">
        <v>2500</v>
      </c>
      <c r="F40" s="10">
        <v>2000</v>
      </c>
      <c r="G40" s="10"/>
      <c r="H40" s="13">
        <f t="shared" ref="H40:H42" si="0">SUM(E40:G40)</f>
        <v>4500</v>
      </c>
    </row>
    <row r="41" spans="2:12" x14ac:dyDescent="0.35">
      <c r="B41" s="18" t="s">
        <v>197</v>
      </c>
      <c r="C41" s="9"/>
      <c r="D41" s="11"/>
      <c r="E41" s="20"/>
      <c r="F41" s="10"/>
      <c r="G41" s="10">
        <f>F32</f>
        <v>6126.4</v>
      </c>
      <c r="H41" s="13">
        <f t="shared" si="0"/>
        <v>6126.4</v>
      </c>
    </row>
    <row r="42" spans="2:12" x14ac:dyDescent="0.35">
      <c r="B42" s="18" t="s">
        <v>245</v>
      </c>
      <c r="C42" s="9"/>
      <c r="D42" s="11"/>
      <c r="E42" s="12"/>
      <c r="F42" s="70"/>
      <c r="G42" s="70">
        <v>4250</v>
      </c>
      <c r="H42" s="12">
        <f t="shared" si="0"/>
        <v>4250</v>
      </c>
    </row>
    <row r="43" spans="2:12" ht="15" thickBot="1" x14ac:dyDescent="0.4">
      <c r="B43" s="38"/>
      <c r="C43" s="26"/>
      <c r="D43" s="23"/>
      <c r="E43" s="25">
        <f>SUM(E39:E42)</f>
        <v>42500</v>
      </c>
      <c r="F43" s="25">
        <f>SUM(F39:F42)</f>
        <v>43960</v>
      </c>
      <c r="G43" s="38">
        <f>G39+G41-G42</f>
        <v>60876.4</v>
      </c>
      <c r="H43" s="25">
        <f>SUM(E43:G43)</f>
        <v>147336.4</v>
      </c>
      <c r="K43" s="9"/>
    </row>
    <row r="44" spans="2:12" x14ac:dyDescent="0.35">
      <c r="B44" s="9"/>
      <c r="C44" s="9"/>
      <c r="D44" s="9"/>
      <c r="E44" s="9"/>
      <c r="F44" s="9"/>
      <c r="G44" s="9"/>
    </row>
    <row r="45" spans="2:12" x14ac:dyDescent="0.35">
      <c r="B45" s="9"/>
      <c r="C45" s="9"/>
      <c r="D45" s="9"/>
      <c r="E45" s="9"/>
      <c r="F45" s="9"/>
      <c r="G45" s="9"/>
    </row>
    <row r="46" spans="2:12" x14ac:dyDescent="0.35">
      <c r="B46" s="9"/>
      <c r="C46" s="9"/>
      <c r="D46" s="9"/>
      <c r="E46" s="9"/>
      <c r="F46" s="9"/>
      <c r="G46" s="9"/>
    </row>
    <row r="47" spans="2:12" x14ac:dyDescent="0.35">
      <c r="B47" s="92" t="s">
        <v>215</v>
      </c>
      <c r="C47" s="92"/>
      <c r="D47" s="92"/>
      <c r="E47" s="92"/>
      <c r="F47" s="92"/>
      <c r="G47" s="9"/>
      <c r="H47" s="9"/>
      <c r="I47" s="9"/>
      <c r="J47" s="9"/>
      <c r="K47" s="9"/>
      <c r="L47" s="9"/>
    </row>
    <row r="48" spans="2:12" x14ac:dyDescent="0.35">
      <c r="B48" s="92" t="s">
        <v>33</v>
      </c>
      <c r="C48" s="92"/>
      <c r="D48" s="92"/>
      <c r="E48" s="92"/>
      <c r="F48" s="92"/>
      <c r="G48" s="9"/>
      <c r="H48" s="9"/>
      <c r="I48" s="9"/>
      <c r="J48" s="9"/>
      <c r="K48" s="9"/>
      <c r="L48" s="9"/>
    </row>
    <row r="49" spans="2:12" ht="15" thickBot="1" x14ac:dyDescent="0.4">
      <c r="B49" s="93" t="s">
        <v>45</v>
      </c>
      <c r="C49" s="93"/>
      <c r="D49" s="93"/>
      <c r="E49" s="93"/>
      <c r="F49" s="93"/>
      <c r="G49" s="9"/>
      <c r="H49" s="9"/>
      <c r="I49" s="9"/>
      <c r="J49" s="9"/>
      <c r="K49" s="9"/>
      <c r="L49" s="9"/>
    </row>
    <row r="50" spans="2:12" ht="16" thickBot="1" x14ac:dyDescent="0.4">
      <c r="B50" s="95" t="s">
        <v>34</v>
      </c>
      <c r="C50" s="96"/>
      <c r="D50" s="96"/>
      <c r="E50" s="96"/>
      <c r="F50" s="97"/>
      <c r="G50" s="9"/>
      <c r="H50" s="9"/>
      <c r="I50" s="9"/>
      <c r="J50" s="9"/>
      <c r="K50" s="9"/>
      <c r="L50" s="9"/>
    </row>
    <row r="51" spans="2:12" x14ac:dyDescent="0.35">
      <c r="B51" s="14" t="s">
        <v>185</v>
      </c>
      <c r="C51" s="6"/>
      <c r="D51" s="7"/>
      <c r="E51" s="8"/>
      <c r="F51" s="8"/>
      <c r="G51" s="9"/>
      <c r="H51" s="9"/>
      <c r="I51" s="9"/>
      <c r="J51" s="9"/>
      <c r="K51" s="9"/>
      <c r="L51" s="9"/>
    </row>
    <row r="52" spans="2:12" x14ac:dyDescent="0.35">
      <c r="B52" s="10" t="s">
        <v>196</v>
      </c>
      <c r="C52" s="9"/>
      <c r="D52" s="11"/>
      <c r="E52" s="13">
        <f>7540+4500</f>
        <v>12040</v>
      </c>
      <c r="F52" s="13"/>
      <c r="G52" s="9"/>
      <c r="H52" s="9"/>
      <c r="I52" s="9"/>
      <c r="J52" s="9"/>
      <c r="K52" s="9"/>
      <c r="L52" s="9"/>
    </row>
    <row r="53" spans="2:12" x14ac:dyDescent="0.35">
      <c r="B53" s="10" t="s">
        <v>83</v>
      </c>
      <c r="C53" s="9"/>
      <c r="D53" s="11"/>
      <c r="E53" s="13">
        <v>22320</v>
      </c>
      <c r="F53" s="13"/>
      <c r="G53" s="9"/>
      <c r="H53" s="9"/>
      <c r="I53" s="9"/>
      <c r="J53" s="9"/>
      <c r="K53" s="9"/>
      <c r="L53" s="9"/>
    </row>
    <row r="54" spans="2:12" x14ac:dyDescent="0.35">
      <c r="B54" s="10" t="s">
        <v>159</v>
      </c>
      <c r="C54" s="9"/>
      <c r="D54" s="11"/>
      <c r="E54" s="13">
        <v>35200</v>
      </c>
      <c r="F54" s="13"/>
      <c r="G54" s="9"/>
      <c r="H54" s="9"/>
      <c r="I54" s="9"/>
      <c r="J54" s="9"/>
      <c r="K54" s="9"/>
      <c r="L54" s="9"/>
    </row>
    <row r="55" spans="2:12" x14ac:dyDescent="0.35">
      <c r="B55" s="10" t="s">
        <v>191</v>
      </c>
      <c r="C55" s="9"/>
      <c r="D55" s="11"/>
      <c r="E55" s="13">
        <v>200</v>
      </c>
      <c r="F55" s="13"/>
      <c r="G55" s="9"/>
      <c r="H55" s="9"/>
      <c r="I55" s="9"/>
      <c r="J55" s="9"/>
      <c r="K55" s="9"/>
      <c r="L55" s="9"/>
    </row>
    <row r="56" spans="2:12" x14ac:dyDescent="0.35">
      <c r="B56" s="10" t="s">
        <v>160</v>
      </c>
      <c r="C56" s="9"/>
      <c r="D56" s="11"/>
      <c r="E56" s="13">
        <v>9400</v>
      </c>
      <c r="F56" s="13"/>
      <c r="G56" s="9"/>
      <c r="H56" s="9"/>
      <c r="I56" s="9"/>
      <c r="J56" s="9"/>
      <c r="K56" s="9"/>
      <c r="L56" s="9"/>
    </row>
    <row r="57" spans="2:12" x14ac:dyDescent="0.35">
      <c r="B57" s="10"/>
      <c r="C57" s="9"/>
      <c r="D57" s="11"/>
      <c r="E57" s="12"/>
      <c r="F57" s="13"/>
      <c r="G57" s="9"/>
      <c r="H57" s="9"/>
      <c r="I57" s="9"/>
      <c r="J57" s="9"/>
      <c r="K57" s="9"/>
      <c r="L57" s="9"/>
    </row>
    <row r="58" spans="2:12" x14ac:dyDescent="0.35">
      <c r="B58" s="10"/>
      <c r="C58" s="79" t="s">
        <v>208</v>
      </c>
      <c r="D58" s="11"/>
      <c r="E58" s="13"/>
      <c r="F58" s="13">
        <f>SUM(E52:E56)</f>
        <v>79160</v>
      </c>
      <c r="G58" s="9"/>
      <c r="H58" s="9"/>
      <c r="I58" s="9"/>
      <c r="J58" s="9"/>
      <c r="K58" s="9"/>
      <c r="L58" s="9"/>
    </row>
    <row r="59" spans="2:12" ht="15" thickBot="1" x14ac:dyDescent="0.4">
      <c r="B59" s="10"/>
      <c r="C59" s="15"/>
      <c r="D59" s="11"/>
      <c r="E59" s="13"/>
      <c r="F59" s="13"/>
      <c r="G59" s="9"/>
      <c r="H59" s="9"/>
      <c r="I59" s="9"/>
      <c r="J59" s="9"/>
      <c r="K59" s="9"/>
      <c r="L59" s="9"/>
    </row>
    <row r="60" spans="2:12" x14ac:dyDescent="0.35">
      <c r="B60" s="14" t="s">
        <v>186</v>
      </c>
      <c r="C60" s="9"/>
      <c r="D60" s="11"/>
      <c r="E60" s="13"/>
      <c r="F60" s="13"/>
      <c r="G60" s="9"/>
      <c r="H60" s="9"/>
      <c r="I60" s="9"/>
      <c r="J60" s="9"/>
      <c r="K60" s="9"/>
      <c r="L60" s="9"/>
    </row>
    <row r="61" spans="2:12" x14ac:dyDescent="0.35">
      <c r="B61" s="10" t="s">
        <v>48</v>
      </c>
      <c r="C61" s="9"/>
      <c r="D61" s="11">
        <v>23040</v>
      </c>
      <c r="E61" s="13"/>
      <c r="F61" s="13"/>
      <c r="G61" s="9"/>
      <c r="H61" s="9"/>
      <c r="I61" s="9"/>
      <c r="J61" s="9"/>
      <c r="K61" s="9"/>
      <c r="L61" s="9"/>
    </row>
    <row r="62" spans="2:12" x14ac:dyDescent="0.35">
      <c r="B62" s="10" t="s">
        <v>192</v>
      </c>
      <c r="C62" s="9"/>
      <c r="D62" s="30">
        <f>9900+4608</f>
        <v>14508</v>
      </c>
      <c r="E62" s="13">
        <f>D61-D62</f>
        <v>8532</v>
      </c>
      <c r="F62" s="13"/>
      <c r="G62" s="9"/>
      <c r="H62" s="9"/>
      <c r="I62" s="9"/>
      <c r="J62" s="9"/>
      <c r="K62" s="9"/>
      <c r="L62" s="9"/>
    </row>
    <row r="63" spans="2:12" x14ac:dyDescent="0.35">
      <c r="B63" s="10"/>
      <c r="C63" s="9"/>
      <c r="D63" s="11"/>
      <c r="E63" s="17"/>
      <c r="F63" s="13"/>
      <c r="G63" s="9"/>
      <c r="H63" s="9"/>
      <c r="I63" s="9"/>
      <c r="J63" s="9"/>
      <c r="K63" s="9"/>
      <c r="L63" s="9"/>
    </row>
    <row r="64" spans="2:12" x14ac:dyDescent="0.35">
      <c r="B64" s="10" t="s">
        <v>6</v>
      </c>
      <c r="C64" s="9"/>
      <c r="D64" s="11">
        <v>62300</v>
      </c>
      <c r="E64" s="13"/>
      <c r="F64" s="13"/>
      <c r="G64" s="9"/>
      <c r="H64" s="9"/>
      <c r="I64" s="9"/>
      <c r="J64" s="9"/>
      <c r="K64" s="9"/>
      <c r="L64" s="9"/>
    </row>
    <row r="65" spans="2:12" x14ac:dyDescent="0.35">
      <c r="B65" s="10" t="s">
        <v>193</v>
      </c>
      <c r="C65" s="9"/>
      <c r="D65" s="30">
        <f>7500+16440</f>
        <v>23940</v>
      </c>
      <c r="E65" s="13">
        <f>D64-D65</f>
        <v>38360</v>
      </c>
      <c r="F65" s="13"/>
      <c r="G65" s="9"/>
      <c r="H65" s="9"/>
      <c r="I65" s="9"/>
      <c r="J65" s="9"/>
      <c r="K65" s="9"/>
      <c r="L65" s="9"/>
    </row>
    <row r="66" spans="2:12" x14ac:dyDescent="0.35">
      <c r="B66" s="10"/>
      <c r="C66" s="9"/>
      <c r="D66" s="11"/>
      <c r="E66" s="17"/>
      <c r="F66" s="13"/>
      <c r="G66" s="9"/>
      <c r="H66" s="9"/>
      <c r="I66" s="9"/>
      <c r="J66" s="9"/>
      <c r="K66" s="9"/>
      <c r="L66" s="9"/>
    </row>
    <row r="67" spans="2:12" x14ac:dyDescent="0.35">
      <c r="B67" s="10" t="s">
        <v>58</v>
      </c>
      <c r="C67" s="9"/>
      <c r="D67" s="11"/>
      <c r="E67" s="12">
        <v>70000</v>
      </c>
      <c r="F67" s="13"/>
      <c r="G67" s="9"/>
      <c r="H67" s="9"/>
      <c r="I67" s="9"/>
      <c r="J67" s="9"/>
      <c r="K67" s="9"/>
      <c r="L67" s="9"/>
    </row>
    <row r="68" spans="2:12" x14ac:dyDescent="0.35">
      <c r="B68" s="10"/>
      <c r="C68" s="79" t="s">
        <v>218</v>
      </c>
      <c r="D68" s="11"/>
      <c r="E68" s="13"/>
      <c r="F68" s="13">
        <f>SUM(E61:E67)</f>
        <v>116892</v>
      </c>
      <c r="G68" s="9"/>
      <c r="H68" s="9"/>
      <c r="I68" s="9"/>
      <c r="J68" s="9"/>
      <c r="K68" s="9"/>
      <c r="L68" s="9"/>
    </row>
    <row r="69" spans="2:12" x14ac:dyDescent="0.35">
      <c r="B69" s="10"/>
      <c r="C69" s="9"/>
      <c r="D69" s="11"/>
      <c r="E69" s="13"/>
      <c r="F69" s="12"/>
      <c r="G69" s="9"/>
      <c r="H69" s="9"/>
      <c r="I69" s="9"/>
      <c r="J69" s="9"/>
      <c r="K69" s="9"/>
      <c r="L69" s="9"/>
    </row>
    <row r="70" spans="2:12" ht="15" thickBot="1" x14ac:dyDescent="0.4">
      <c r="B70" s="10"/>
      <c r="C70" s="72" t="s">
        <v>209</v>
      </c>
      <c r="D70" s="11"/>
      <c r="E70" s="13"/>
      <c r="F70" s="19">
        <f>SUM(F53:F68)</f>
        <v>196052</v>
      </c>
      <c r="G70" s="9"/>
      <c r="H70" s="9"/>
      <c r="I70" s="9"/>
      <c r="J70" s="9"/>
      <c r="K70" s="9"/>
      <c r="L70" s="9"/>
    </row>
    <row r="71" spans="2:12" ht="15.5" thickTop="1" thickBot="1" x14ac:dyDescent="0.4">
      <c r="B71" s="21"/>
      <c r="C71" s="26"/>
      <c r="D71" s="23"/>
      <c r="E71" s="24"/>
      <c r="F71" s="24"/>
      <c r="G71" s="9"/>
      <c r="H71" s="9"/>
      <c r="I71" s="9"/>
      <c r="J71" s="9"/>
      <c r="K71" s="9"/>
      <c r="L71" s="9"/>
    </row>
    <row r="72" spans="2:12" ht="16" thickBot="1" x14ac:dyDescent="0.4">
      <c r="B72" s="98" t="s">
        <v>39</v>
      </c>
      <c r="C72" s="99"/>
      <c r="D72" s="99"/>
      <c r="E72" s="99"/>
      <c r="F72" s="100"/>
      <c r="G72" s="9"/>
      <c r="H72" s="9"/>
      <c r="I72" s="9"/>
      <c r="J72" s="9"/>
      <c r="K72" s="9"/>
      <c r="L72" s="9"/>
    </row>
    <row r="73" spans="2:12" ht="16" thickBot="1" x14ac:dyDescent="0.4">
      <c r="B73" s="73"/>
      <c r="C73" s="74" t="s">
        <v>202</v>
      </c>
      <c r="D73" s="75"/>
      <c r="E73" s="75"/>
      <c r="F73" s="76"/>
      <c r="G73" s="9"/>
      <c r="H73" s="9"/>
      <c r="I73" s="9"/>
      <c r="J73" s="9"/>
      <c r="K73" s="9"/>
      <c r="L73" s="9"/>
    </row>
    <row r="74" spans="2:12" x14ac:dyDescent="0.35">
      <c r="B74" s="14" t="s">
        <v>187</v>
      </c>
      <c r="C74" s="6"/>
      <c r="D74" s="7"/>
      <c r="E74" s="5"/>
      <c r="F74" s="8"/>
      <c r="G74" s="9"/>
      <c r="H74" s="9"/>
      <c r="I74" s="9"/>
      <c r="J74" s="9"/>
      <c r="K74" s="9"/>
      <c r="L74" s="9"/>
    </row>
    <row r="75" spans="2:12" x14ac:dyDescent="0.35">
      <c r="B75" s="10" t="s">
        <v>8</v>
      </c>
      <c r="C75" s="9"/>
      <c r="D75" s="11"/>
      <c r="E75" s="13">
        <v>9720</v>
      </c>
      <c r="F75" s="13"/>
      <c r="G75" s="9"/>
      <c r="H75" s="9"/>
      <c r="I75" s="9"/>
      <c r="J75" s="9"/>
      <c r="K75" s="9"/>
      <c r="L75" s="9"/>
    </row>
    <row r="76" spans="2:12" x14ac:dyDescent="0.35">
      <c r="B76" s="10" t="s">
        <v>153</v>
      </c>
      <c r="C76" s="9"/>
      <c r="D76" s="11"/>
      <c r="E76" s="13">
        <f>F31</f>
        <v>2625.6</v>
      </c>
      <c r="F76" s="13"/>
      <c r="G76" s="9"/>
      <c r="H76" s="9"/>
      <c r="I76" s="9"/>
      <c r="J76" s="9"/>
      <c r="K76" s="9"/>
      <c r="L76" s="9"/>
    </row>
    <row r="77" spans="2:12" x14ac:dyDescent="0.35">
      <c r="B77" s="10" t="s">
        <v>82</v>
      </c>
      <c r="C77" s="9"/>
      <c r="D77" s="11"/>
      <c r="E77" s="12">
        <v>4250</v>
      </c>
      <c r="F77" s="13"/>
      <c r="G77" s="9"/>
      <c r="H77" s="9"/>
      <c r="I77" s="9"/>
      <c r="J77" s="9"/>
      <c r="K77" s="9"/>
      <c r="L77" s="9"/>
    </row>
    <row r="78" spans="2:12" x14ac:dyDescent="0.35">
      <c r="B78" s="10" t="s">
        <v>152</v>
      </c>
      <c r="C78" s="9"/>
      <c r="D78" s="11"/>
      <c r="E78" s="10">
        <v>1320</v>
      </c>
      <c r="G78" s="9"/>
      <c r="H78" s="9"/>
      <c r="I78" s="9"/>
      <c r="J78" s="9"/>
      <c r="K78" s="9"/>
      <c r="L78" s="9"/>
    </row>
    <row r="79" spans="2:12" x14ac:dyDescent="0.35">
      <c r="B79" s="18"/>
      <c r="C79" s="79" t="s">
        <v>78</v>
      </c>
      <c r="D79" s="11"/>
      <c r="E79" s="10"/>
      <c r="F79" s="13">
        <f>SUM(E75:E78)</f>
        <v>17915.599999999999</v>
      </c>
      <c r="G79" s="9"/>
      <c r="H79" s="9"/>
      <c r="I79" s="9"/>
      <c r="J79" s="9"/>
      <c r="K79" s="9"/>
      <c r="L79" s="9"/>
    </row>
    <row r="80" spans="2:12" x14ac:dyDescent="0.35">
      <c r="B80" s="10"/>
      <c r="C80" s="15"/>
      <c r="D80" s="11"/>
      <c r="E80" s="10"/>
      <c r="F80" s="13"/>
      <c r="G80" s="9"/>
      <c r="H80" s="9"/>
      <c r="I80" s="9"/>
      <c r="J80" s="9"/>
      <c r="K80" s="9"/>
      <c r="L80" s="9"/>
    </row>
    <row r="81" spans="2:12" x14ac:dyDescent="0.35">
      <c r="B81" s="18" t="s">
        <v>188</v>
      </c>
      <c r="C81" s="15"/>
      <c r="D81" s="11"/>
      <c r="E81" s="10"/>
      <c r="F81" s="13"/>
      <c r="G81" s="9"/>
      <c r="H81" s="9"/>
      <c r="I81" s="9"/>
      <c r="J81" s="9"/>
      <c r="K81" s="9"/>
      <c r="L81" s="9"/>
    </row>
    <row r="82" spans="2:12" x14ac:dyDescent="0.35">
      <c r="B82" s="10" t="s">
        <v>194</v>
      </c>
      <c r="C82" s="9"/>
      <c r="D82" s="11"/>
      <c r="E82" s="12">
        <v>30800</v>
      </c>
      <c r="F82" s="13"/>
      <c r="G82" s="9"/>
      <c r="H82" s="9"/>
      <c r="I82" s="9"/>
      <c r="J82" s="9"/>
      <c r="K82" s="9"/>
      <c r="L82" s="9"/>
    </row>
    <row r="83" spans="2:12" x14ac:dyDescent="0.35">
      <c r="B83" s="16"/>
      <c r="C83" s="9"/>
      <c r="D83" s="11"/>
      <c r="E83" s="10"/>
      <c r="F83" s="13">
        <f>SUM(E80:E82)</f>
        <v>30800</v>
      </c>
      <c r="G83" s="9"/>
      <c r="H83" s="9"/>
      <c r="I83" s="9"/>
      <c r="J83" s="9"/>
      <c r="K83" s="9"/>
      <c r="L83" s="9"/>
    </row>
    <row r="84" spans="2:12" x14ac:dyDescent="0.35">
      <c r="B84" s="10"/>
      <c r="C84" s="79" t="s">
        <v>72</v>
      </c>
      <c r="D84" s="11"/>
      <c r="E84" s="10"/>
      <c r="F84" s="12"/>
      <c r="G84" s="9"/>
      <c r="H84" s="9"/>
      <c r="I84" s="9"/>
      <c r="J84" s="9"/>
      <c r="K84" s="9"/>
      <c r="L84" s="9"/>
    </row>
    <row r="85" spans="2:12" x14ac:dyDescent="0.35">
      <c r="B85" s="16"/>
      <c r="C85" s="9"/>
      <c r="D85" s="11"/>
      <c r="E85" s="10"/>
      <c r="F85" s="13">
        <f>SUM(F75:F84)</f>
        <v>48715.6</v>
      </c>
      <c r="G85" s="9"/>
      <c r="H85" s="9"/>
      <c r="I85" s="9"/>
      <c r="J85" s="9"/>
      <c r="K85" s="9"/>
      <c r="L85" s="9"/>
    </row>
    <row r="86" spans="2:12" x14ac:dyDescent="0.35">
      <c r="B86" s="18"/>
      <c r="C86" s="72" t="s">
        <v>210</v>
      </c>
      <c r="D86" s="11"/>
      <c r="E86" s="10"/>
      <c r="F86" s="13"/>
      <c r="G86" s="9"/>
      <c r="H86" s="9"/>
      <c r="I86" s="9"/>
      <c r="J86" s="9"/>
      <c r="K86" s="9"/>
      <c r="L86" s="9"/>
    </row>
    <row r="87" spans="2:12" x14ac:dyDescent="0.35">
      <c r="B87" s="10"/>
      <c r="D87" s="11"/>
      <c r="E87" s="40"/>
      <c r="F87" s="13"/>
      <c r="G87" s="9"/>
      <c r="H87" s="9"/>
      <c r="I87" s="9"/>
      <c r="J87" s="9"/>
      <c r="K87" s="9"/>
      <c r="L87" s="9"/>
    </row>
    <row r="88" spans="2:12" x14ac:dyDescent="0.35">
      <c r="B88" s="72" t="s">
        <v>201</v>
      </c>
      <c r="C88" s="9"/>
      <c r="D88" s="11"/>
      <c r="E88" s="10"/>
      <c r="F88" s="13"/>
      <c r="G88" s="9"/>
      <c r="H88" s="9"/>
      <c r="I88" s="9"/>
      <c r="J88" s="9"/>
      <c r="K88" s="9"/>
      <c r="L88" s="9"/>
    </row>
    <row r="89" spans="2:12" x14ac:dyDescent="0.35">
      <c r="B89" s="16" t="s">
        <v>189</v>
      </c>
      <c r="D89" s="11"/>
      <c r="E89" s="10"/>
      <c r="F89" s="13"/>
      <c r="G89" s="9"/>
      <c r="H89" s="9"/>
      <c r="I89" s="9"/>
      <c r="J89" s="9"/>
      <c r="K89" s="9"/>
      <c r="L89" s="9"/>
    </row>
    <row r="90" spans="2:12" x14ac:dyDescent="0.35">
      <c r="B90" s="10" t="s">
        <v>11</v>
      </c>
      <c r="C90" s="9"/>
      <c r="D90" s="11"/>
      <c r="E90" s="13">
        <f>E43</f>
        <v>42500</v>
      </c>
      <c r="F90" s="13"/>
      <c r="G90" s="9"/>
      <c r="H90" s="9"/>
      <c r="I90" s="9"/>
      <c r="J90" s="9"/>
      <c r="K90" s="9"/>
      <c r="L90" s="9"/>
    </row>
    <row r="91" spans="2:12" x14ac:dyDescent="0.35">
      <c r="B91" s="10"/>
      <c r="C91" s="9"/>
      <c r="D91" s="11"/>
      <c r="E91" s="13"/>
      <c r="F91" s="13"/>
      <c r="G91" s="9"/>
      <c r="H91" s="9"/>
      <c r="I91" s="9"/>
      <c r="J91" s="9"/>
      <c r="K91" s="9"/>
      <c r="L91" s="9"/>
    </row>
    <row r="92" spans="2:12" x14ac:dyDescent="0.35">
      <c r="B92" s="16" t="s">
        <v>190</v>
      </c>
      <c r="C92" s="9"/>
      <c r="D92" s="11"/>
      <c r="E92" s="13"/>
      <c r="F92" s="13"/>
      <c r="G92" s="9"/>
      <c r="H92" s="9"/>
      <c r="I92" s="9"/>
      <c r="J92" s="9"/>
      <c r="K92" s="9"/>
      <c r="L92" s="9"/>
    </row>
    <row r="93" spans="2:12" x14ac:dyDescent="0.35">
      <c r="B93" s="10" t="s">
        <v>11</v>
      </c>
      <c r="C93" s="9"/>
      <c r="D93" s="11"/>
      <c r="E93" s="13">
        <f>F43</f>
        <v>43960</v>
      </c>
      <c r="F93" s="13"/>
      <c r="G93" s="9"/>
      <c r="H93" s="9"/>
      <c r="I93" s="9"/>
      <c r="J93" s="9"/>
      <c r="K93" s="9"/>
      <c r="L93" s="9"/>
    </row>
    <row r="94" spans="2:12" x14ac:dyDescent="0.35">
      <c r="B94" s="10"/>
      <c r="C94" s="9"/>
      <c r="D94" s="11"/>
      <c r="E94" s="13"/>
      <c r="F94" s="13"/>
      <c r="G94" s="9"/>
      <c r="H94" s="9"/>
      <c r="I94" s="9"/>
      <c r="J94" s="9"/>
      <c r="K94" s="9"/>
      <c r="L94" s="9"/>
    </row>
    <row r="95" spans="2:12" x14ac:dyDescent="0.35">
      <c r="B95" s="16" t="s">
        <v>13</v>
      </c>
      <c r="C95" s="15"/>
      <c r="D95" s="11"/>
      <c r="E95" s="12">
        <f>G43</f>
        <v>60876.4</v>
      </c>
      <c r="F95" s="13"/>
      <c r="G95" s="9"/>
      <c r="H95" s="9"/>
      <c r="I95" s="9"/>
      <c r="J95" s="9"/>
      <c r="K95" s="9"/>
      <c r="L95" s="9"/>
    </row>
    <row r="96" spans="2:12" x14ac:dyDescent="0.35">
      <c r="B96" s="10"/>
      <c r="C96" s="9"/>
      <c r="D96" s="11"/>
      <c r="E96" s="10"/>
      <c r="F96" s="71">
        <f>SUM(E90:E95)</f>
        <v>147336.4</v>
      </c>
      <c r="G96" s="9"/>
      <c r="H96" s="9"/>
      <c r="I96" s="9"/>
      <c r="J96" s="9"/>
      <c r="K96" s="9"/>
      <c r="L96" s="9"/>
    </row>
    <row r="97" spans="2:6" ht="15" thickBot="1" x14ac:dyDescent="0.4">
      <c r="B97" s="10"/>
      <c r="C97" s="15" t="s">
        <v>211</v>
      </c>
      <c r="D97" s="11"/>
      <c r="E97" s="10"/>
      <c r="F97" s="19">
        <f>F85+F96</f>
        <v>196052</v>
      </c>
    </row>
    <row r="98" spans="2:6" ht="15.5" thickTop="1" thickBot="1" x14ac:dyDescent="0.4">
      <c r="B98" s="21"/>
      <c r="C98" s="72" t="s">
        <v>219</v>
      </c>
      <c r="D98" s="23"/>
      <c r="E98" s="21"/>
      <c r="F98" s="24"/>
    </row>
    <row r="99" spans="2:6" ht="15" thickBot="1" x14ac:dyDescent="0.4">
      <c r="B99" s="9"/>
      <c r="C99" s="26"/>
      <c r="D99" s="9"/>
      <c r="E99" s="9"/>
      <c r="F99" s="9"/>
    </row>
    <row r="100" spans="2:6" x14ac:dyDescent="0.35">
      <c r="B100" s="9"/>
      <c r="C100" s="9"/>
      <c r="D100" s="9"/>
      <c r="E100" s="9"/>
      <c r="F100" s="9"/>
    </row>
    <row r="101" spans="2:6" x14ac:dyDescent="0.35">
      <c r="C101" s="9"/>
    </row>
  </sheetData>
  <mergeCells count="11">
    <mergeCell ref="B37:H37"/>
    <mergeCell ref="B1:F1"/>
    <mergeCell ref="B2:F2"/>
    <mergeCell ref="B3:F3"/>
    <mergeCell ref="B34:H35"/>
    <mergeCell ref="B36:H36"/>
    <mergeCell ref="B47:F47"/>
    <mergeCell ref="B48:F48"/>
    <mergeCell ref="B49:F49"/>
    <mergeCell ref="B50:F50"/>
    <mergeCell ref="B72:F72"/>
  </mergeCells>
  <pageMargins left="0.7" right="0.7" top="0.75" bottom="0.75" header="0.3" footer="0.3"/>
  <pageSetup orientation="portrait" verticalDpi="0" r:id="rId1"/>
  <ignoredErrors>
    <ignoredError sqref="F31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39"/>
  <sheetViews>
    <sheetView topLeftCell="A13" zoomScale="80" zoomScaleNormal="80" workbookViewId="0">
      <selection activeCell="AH25" sqref="AH25"/>
    </sheetView>
  </sheetViews>
  <sheetFormatPr defaultColWidth="9.1796875" defaultRowHeight="14.5" x14ac:dyDescent="0.35"/>
  <cols>
    <col min="1" max="1" width="9.1796875" style="81"/>
    <col min="2" max="2" width="42.26953125" style="81" bestFit="1" customWidth="1"/>
    <col min="3" max="4" width="10.54296875" style="81" bestFit="1" customWidth="1"/>
    <col min="5" max="16384" width="9.1796875" style="81"/>
  </cols>
  <sheetData>
    <row r="2" spans="2:5" ht="36.75" customHeight="1" x14ac:dyDescent="0.35">
      <c r="B2" s="101" t="s">
        <v>220</v>
      </c>
      <c r="C2" s="101"/>
      <c r="D2" s="101"/>
      <c r="E2" s="101"/>
    </row>
    <row r="3" spans="2:5" x14ac:dyDescent="0.35">
      <c r="B3" s="86" t="s">
        <v>222</v>
      </c>
      <c r="C3" s="86" t="s">
        <v>0</v>
      </c>
      <c r="D3" s="86" t="s">
        <v>1</v>
      </c>
    </row>
    <row r="4" spans="2:5" x14ac:dyDescent="0.35">
      <c r="B4" s="82" t="s">
        <v>2</v>
      </c>
      <c r="C4" s="83">
        <v>34200</v>
      </c>
      <c r="D4" s="83"/>
    </row>
    <row r="5" spans="2:5" x14ac:dyDescent="0.35">
      <c r="B5" s="82" t="s">
        <v>4</v>
      </c>
      <c r="C5" s="83">
        <v>111000</v>
      </c>
      <c r="D5" s="83"/>
    </row>
    <row r="6" spans="2:5" x14ac:dyDescent="0.35">
      <c r="B6" s="82" t="s">
        <v>3</v>
      </c>
      <c r="C6" s="83">
        <v>190000</v>
      </c>
      <c r="D6" s="83"/>
    </row>
    <row r="7" spans="2:5" x14ac:dyDescent="0.35">
      <c r="B7" s="82" t="s">
        <v>113</v>
      </c>
      <c r="C7" s="83">
        <v>4000</v>
      </c>
      <c r="D7" s="83"/>
    </row>
    <row r="8" spans="2:5" x14ac:dyDescent="0.35">
      <c r="B8" s="82" t="s">
        <v>114</v>
      </c>
      <c r="C8" s="83">
        <v>15000</v>
      </c>
      <c r="D8" s="83"/>
    </row>
    <row r="9" spans="2:5" x14ac:dyDescent="0.35">
      <c r="B9" s="82" t="s">
        <v>116</v>
      </c>
      <c r="C9" s="83">
        <v>115200</v>
      </c>
      <c r="D9" s="83"/>
    </row>
    <row r="10" spans="2:5" x14ac:dyDescent="0.35">
      <c r="B10" s="82" t="s">
        <v>118</v>
      </c>
      <c r="C10" s="83"/>
      <c r="D10" s="83">
        <v>40400</v>
      </c>
    </row>
    <row r="11" spans="2:5" x14ac:dyDescent="0.35">
      <c r="B11" s="82" t="s">
        <v>115</v>
      </c>
      <c r="C11" s="83">
        <v>320000</v>
      </c>
      <c r="D11" s="83"/>
    </row>
    <row r="12" spans="2:5" x14ac:dyDescent="0.35">
      <c r="B12" s="82" t="s">
        <v>117</v>
      </c>
      <c r="C12" s="83"/>
      <c r="D12" s="83">
        <v>65900</v>
      </c>
    </row>
    <row r="13" spans="2:5" x14ac:dyDescent="0.35">
      <c r="B13" s="82" t="s">
        <v>149</v>
      </c>
      <c r="C13" s="83">
        <v>250000</v>
      </c>
      <c r="D13" s="83"/>
    </row>
    <row r="14" spans="2:5" x14ac:dyDescent="0.35">
      <c r="B14" s="82" t="s">
        <v>129</v>
      </c>
      <c r="C14" s="83"/>
      <c r="D14" s="83">
        <v>37000</v>
      </c>
    </row>
    <row r="15" spans="2:5" x14ac:dyDescent="0.35">
      <c r="B15" s="82" t="s">
        <v>8</v>
      </c>
      <c r="C15" s="83"/>
      <c r="D15" s="83">
        <v>49000</v>
      </c>
    </row>
    <row r="16" spans="2:5" x14ac:dyDescent="0.35">
      <c r="B16" s="82" t="s">
        <v>221</v>
      </c>
      <c r="C16" s="83"/>
      <c r="D16" s="83">
        <v>250000</v>
      </c>
    </row>
    <row r="17" spans="2:4" x14ac:dyDescent="0.35">
      <c r="B17" s="82" t="s">
        <v>119</v>
      </c>
      <c r="C17" s="83"/>
      <c r="D17" s="83">
        <v>180000</v>
      </c>
    </row>
    <row r="18" spans="2:4" x14ac:dyDescent="0.35">
      <c r="B18" s="82" t="s">
        <v>13</v>
      </c>
      <c r="C18" s="83"/>
      <c r="D18" s="83">
        <v>360000</v>
      </c>
    </row>
    <row r="19" spans="2:4" x14ac:dyDescent="0.35">
      <c r="B19" s="82" t="s">
        <v>14</v>
      </c>
      <c r="C19" s="83"/>
      <c r="D19" s="83">
        <v>3045600</v>
      </c>
    </row>
    <row r="20" spans="2:4" x14ac:dyDescent="0.35">
      <c r="B20" s="82" t="s">
        <v>120</v>
      </c>
      <c r="C20" s="83">
        <v>398000</v>
      </c>
      <c r="D20" s="83"/>
    </row>
    <row r="21" spans="2:4" x14ac:dyDescent="0.35">
      <c r="B21" s="82" t="s">
        <v>15</v>
      </c>
      <c r="C21" s="83">
        <v>34500</v>
      </c>
      <c r="D21" s="83"/>
    </row>
    <row r="22" spans="2:4" x14ac:dyDescent="0.35">
      <c r="B22" s="82" t="s">
        <v>121</v>
      </c>
      <c r="C22" s="83">
        <v>17200</v>
      </c>
      <c r="D22" s="83"/>
    </row>
    <row r="23" spans="2:4" x14ac:dyDescent="0.35">
      <c r="B23" s="82" t="s">
        <v>16</v>
      </c>
      <c r="C23" s="83">
        <v>2223000</v>
      </c>
      <c r="D23" s="83"/>
    </row>
    <row r="24" spans="2:4" x14ac:dyDescent="0.35">
      <c r="B24" s="82" t="s">
        <v>123</v>
      </c>
      <c r="C24" s="83">
        <v>48750</v>
      </c>
      <c r="D24" s="83"/>
    </row>
    <row r="25" spans="2:4" x14ac:dyDescent="0.35">
      <c r="B25" s="82" t="s">
        <v>122</v>
      </c>
      <c r="C25" s="83">
        <v>74400</v>
      </c>
      <c r="D25" s="83"/>
    </row>
    <row r="26" spans="2:4" x14ac:dyDescent="0.35">
      <c r="B26" s="82" t="s">
        <v>21</v>
      </c>
      <c r="C26" s="83">
        <v>120400</v>
      </c>
      <c r="D26" s="83"/>
    </row>
    <row r="27" spans="2:4" x14ac:dyDescent="0.35">
      <c r="B27" s="82" t="s">
        <v>124</v>
      </c>
      <c r="C27" s="83">
        <v>32700</v>
      </c>
      <c r="D27" s="83"/>
    </row>
    <row r="28" spans="2:4" x14ac:dyDescent="0.35">
      <c r="B28" s="82" t="s">
        <v>127</v>
      </c>
      <c r="C28" s="83">
        <v>35900</v>
      </c>
      <c r="D28" s="83"/>
    </row>
    <row r="29" spans="2:4" x14ac:dyDescent="0.35">
      <c r="B29" s="82" t="s">
        <v>126</v>
      </c>
      <c r="C29" s="83"/>
      <c r="D29" s="83">
        <v>12350</v>
      </c>
    </row>
    <row r="30" spans="2:4" x14ac:dyDescent="0.35">
      <c r="B30" s="82" t="s">
        <v>125</v>
      </c>
      <c r="C30" s="82">
        <v>16000</v>
      </c>
      <c r="D30" s="82"/>
    </row>
    <row r="31" spans="2:4" x14ac:dyDescent="0.35">
      <c r="B31" s="85" t="s">
        <v>31</v>
      </c>
      <c r="C31" s="83">
        <f>SUM(C4:C30)</f>
        <v>4040250</v>
      </c>
      <c r="D31" s="83">
        <f>SUM(D4:D30)</f>
        <v>4040250</v>
      </c>
    </row>
    <row r="33" spans="2:2" x14ac:dyDescent="0.35">
      <c r="B33" s="87" t="s">
        <v>104</v>
      </c>
    </row>
    <row r="34" spans="2:2" x14ac:dyDescent="0.35">
      <c r="B34" s="81" t="s">
        <v>236</v>
      </c>
    </row>
    <row r="35" spans="2:2" x14ac:dyDescent="0.35">
      <c r="B35" s="81" t="s">
        <v>237</v>
      </c>
    </row>
    <row r="36" spans="2:2" x14ac:dyDescent="0.35">
      <c r="B36" s="81" t="s">
        <v>238</v>
      </c>
    </row>
    <row r="37" spans="2:2" x14ac:dyDescent="0.35">
      <c r="B37" s="81" t="s">
        <v>239</v>
      </c>
    </row>
    <row r="38" spans="2:2" x14ac:dyDescent="0.35">
      <c r="B38" s="81" t="s">
        <v>240</v>
      </c>
    </row>
    <row r="39" spans="2:2" x14ac:dyDescent="0.35">
      <c r="B39" s="81" t="s">
        <v>241</v>
      </c>
    </row>
  </sheetData>
  <mergeCells count="1">
    <mergeCell ref="B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1ADE-EEA8-4114-ADDC-3417AE7F26BA}">
  <dimension ref="B1:L102"/>
  <sheetViews>
    <sheetView tabSelected="1" topLeftCell="A85" zoomScale="85" zoomScaleNormal="85" workbookViewId="0">
      <selection activeCell="F80" sqref="F80"/>
    </sheetView>
  </sheetViews>
  <sheetFormatPr defaultRowHeight="14.5" x14ac:dyDescent="0.35"/>
  <cols>
    <col min="3" max="3" width="30.7265625" customWidth="1"/>
    <col min="4" max="4" width="8.7265625" customWidth="1"/>
    <col min="5" max="5" width="14.7265625" customWidth="1"/>
    <col min="6" max="6" width="23.54296875" customWidth="1"/>
    <col min="7" max="7" width="16.26953125" customWidth="1"/>
    <col min="8" max="8" width="16.1796875" customWidth="1"/>
    <col min="9" max="9" width="24" customWidth="1"/>
  </cols>
  <sheetData>
    <row r="1" spans="2:10" x14ac:dyDescent="0.35">
      <c r="B1" s="92" t="s">
        <v>215</v>
      </c>
      <c r="C1" s="92"/>
      <c r="D1" s="92"/>
      <c r="E1" s="92"/>
      <c r="F1" s="92"/>
    </row>
    <row r="2" spans="2:10" x14ac:dyDescent="0.35">
      <c r="B2" s="92" t="s">
        <v>32</v>
      </c>
      <c r="C2" s="92"/>
      <c r="D2" s="92"/>
      <c r="E2" s="92"/>
      <c r="F2" s="92"/>
    </row>
    <row r="3" spans="2:10" ht="15" thickBot="1" x14ac:dyDescent="0.4">
      <c r="B3" s="92" t="s">
        <v>44</v>
      </c>
      <c r="C3" s="92"/>
      <c r="D3" s="92"/>
      <c r="E3" s="92"/>
      <c r="F3" s="92"/>
      <c r="J3" s="65"/>
    </row>
    <row r="4" spans="2:10" x14ac:dyDescent="0.35">
      <c r="B4" s="5" t="s">
        <v>14</v>
      </c>
      <c r="C4" s="6"/>
      <c r="D4" s="7"/>
      <c r="E4" s="83">
        <v>3045600</v>
      </c>
      <c r="F4" s="8"/>
      <c r="G4" s="9"/>
      <c r="J4" s="65"/>
    </row>
    <row r="5" spans="2:10" x14ac:dyDescent="0.35">
      <c r="B5" s="10" t="s">
        <v>173</v>
      </c>
      <c r="C5" s="9"/>
      <c r="D5" s="11"/>
      <c r="E5" s="13">
        <v>34500</v>
      </c>
      <c r="F5" s="13"/>
      <c r="G5" s="9"/>
      <c r="J5" s="65"/>
    </row>
    <row r="6" spans="2:10" x14ac:dyDescent="0.35">
      <c r="B6" s="10" t="s">
        <v>141</v>
      </c>
      <c r="C6" s="15"/>
      <c r="D6" s="11"/>
      <c r="E6" s="12">
        <v>17200</v>
      </c>
      <c r="F6" s="13"/>
      <c r="G6" s="9"/>
      <c r="J6" s="65"/>
    </row>
    <row r="7" spans="2:10" x14ac:dyDescent="0.35">
      <c r="B7" s="10"/>
      <c r="C7" s="15" t="s">
        <v>56</v>
      </c>
      <c r="D7" s="11"/>
      <c r="E7" s="10"/>
      <c r="F7" s="66">
        <f>E4-E5-E6</f>
        <v>2993900</v>
      </c>
      <c r="G7" s="9"/>
      <c r="J7" s="65"/>
    </row>
    <row r="8" spans="2:10" x14ac:dyDescent="0.35">
      <c r="B8" s="10" t="s">
        <v>253</v>
      </c>
      <c r="C8" s="15"/>
      <c r="D8" s="11"/>
      <c r="E8" s="10"/>
      <c r="F8" s="12">
        <f>SUM(2223000+1500)</f>
        <v>2224500</v>
      </c>
      <c r="G8" s="9"/>
      <c r="J8" s="65"/>
    </row>
    <row r="9" spans="2:10" x14ac:dyDescent="0.35">
      <c r="B9" s="16"/>
      <c r="C9" s="15" t="s">
        <v>57</v>
      </c>
      <c r="D9" s="11"/>
      <c r="E9" s="10"/>
      <c r="F9" s="13">
        <f>F7-F8</f>
        <v>769400</v>
      </c>
      <c r="G9" s="9"/>
      <c r="J9" s="65"/>
    </row>
    <row r="10" spans="2:10" x14ac:dyDescent="0.35">
      <c r="B10" s="40"/>
      <c r="C10" s="9"/>
      <c r="D10" s="11"/>
      <c r="E10" s="10"/>
      <c r="F10" s="17"/>
      <c r="G10" s="9"/>
      <c r="J10" s="65"/>
    </row>
    <row r="11" spans="2:10" x14ac:dyDescent="0.35">
      <c r="B11" s="16" t="s">
        <v>175</v>
      </c>
      <c r="C11" s="9"/>
      <c r="D11" s="11"/>
      <c r="E11" s="10"/>
      <c r="F11" s="17"/>
      <c r="G11" s="9"/>
      <c r="J11" s="65"/>
    </row>
    <row r="12" spans="2:10" x14ac:dyDescent="0.35">
      <c r="B12" s="90" t="s">
        <v>254</v>
      </c>
      <c r="C12" s="9"/>
      <c r="D12" s="11"/>
      <c r="E12" s="10">
        <v>398000</v>
      </c>
      <c r="F12" s="17"/>
      <c r="G12" s="9"/>
      <c r="J12" s="65"/>
    </row>
    <row r="13" spans="2:10" x14ac:dyDescent="0.35">
      <c r="B13" s="10" t="s">
        <v>255</v>
      </c>
      <c r="C13" s="9"/>
      <c r="D13" s="11"/>
      <c r="E13" s="13">
        <v>3200</v>
      </c>
      <c r="F13" s="17"/>
      <c r="G13" s="9"/>
      <c r="J13" s="65"/>
    </row>
    <row r="14" spans="2:10" x14ac:dyDescent="0.35">
      <c r="B14" s="10" t="s">
        <v>123</v>
      </c>
      <c r="C14" s="9"/>
      <c r="D14" s="11"/>
      <c r="E14" s="13">
        <v>48750</v>
      </c>
      <c r="F14" s="17"/>
      <c r="G14" s="9"/>
      <c r="J14" s="65"/>
    </row>
    <row r="15" spans="2:10" x14ac:dyDescent="0.35">
      <c r="B15" s="10" t="s">
        <v>21</v>
      </c>
      <c r="C15" s="9"/>
      <c r="D15" s="11"/>
      <c r="E15" s="13">
        <v>120400</v>
      </c>
      <c r="F15" s="17"/>
      <c r="G15" s="9"/>
      <c r="J15" s="65"/>
    </row>
    <row r="16" spans="2:10" x14ac:dyDescent="0.35">
      <c r="B16" s="10" t="s">
        <v>122</v>
      </c>
      <c r="C16" s="9"/>
      <c r="D16" s="11"/>
      <c r="E16" s="13">
        <v>74400</v>
      </c>
      <c r="F16" s="17"/>
      <c r="G16" s="9"/>
      <c r="J16" s="65"/>
    </row>
    <row r="17" spans="2:10" x14ac:dyDescent="0.35">
      <c r="B17" s="10" t="s">
        <v>256</v>
      </c>
      <c r="C17" s="9"/>
      <c r="D17" s="11"/>
      <c r="E17" s="13">
        <v>32700</v>
      </c>
      <c r="F17" s="17"/>
      <c r="G17" s="9"/>
      <c r="J17" s="65"/>
    </row>
    <row r="18" spans="2:10" x14ac:dyDescent="0.35">
      <c r="B18" s="10" t="s">
        <v>144</v>
      </c>
      <c r="C18" s="9"/>
      <c r="D18" s="11"/>
      <c r="E18" s="13">
        <v>35900</v>
      </c>
      <c r="F18" s="17"/>
      <c r="G18" s="9"/>
      <c r="J18" s="65"/>
    </row>
    <row r="19" spans="2:10" x14ac:dyDescent="0.35">
      <c r="B19" s="10" t="s">
        <v>264</v>
      </c>
      <c r="C19" s="9"/>
      <c r="D19" s="11"/>
      <c r="E19" s="13">
        <f>115200*0.2</f>
        <v>23040</v>
      </c>
      <c r="F19" s="13"/>
      <c r="G19" s="9"/>
      <c r="J19" s="65"/>
    </row>
    <row r="20" spans="2:10" x14ac:dyDescent="0.35">
      <c r="B20" s="10" t="s">
        <v>257</v>
      </c>
      <c r="C20" s="9"/>
      <c r="D20" s="11"/>
      <c r="E20" s="12">
        <f>254100*0.3</f>
        <v>76230</v>
      </c>
      <c r="F20" s="13"/>
      <c r="G20" s="9"/>
      <c r="J20" s="65"/>
    </row>
    <row r="21" spans="2:10" x14ac:dyDescent="0.35">
      <c r="B21" s="10"/>
      <c r="C21" s="9"/>
      <c r="D21" s="11"/>
      <c r="E21" s="10"/>
      <c r="F21" s="13"/>
      <c r="G21" s="9"/>
      <c r="J21" s="65"/>
    </row>
    <row r="22" spans="2:10" x14ac:dyDescent="0.35">
      <c r="B22" s="18" t="s">
        <v>60</v>
      </c>
      <c r="C22" s="9"/>
      <c r="D22" s="11"/>
      <c r="E22" s="10"/>
      <c r="F22" s="12">
        <f>SUM(E12:E20)</f>
        <v>812620</v>
      </c>
      <c r="G22" s="9"/>
      <c r="J22" s="65"/>
    </row>
    <row r="23" spans="2:10" x14ac:dyDescent="0.35">
      <c r="B23" s="18"/>
      <c r="C23" s="62" t="s">
        <v>180</v>
      </c>
      <c r="D23" s="11"/>
      <c r="E23" s="10"/>
      <c r="F23" s="13">
        <f>F9-F22</f>
        <v>-43220</v>
      </c>
      <c r="G23" s="9"/>
      <c r="J23" s="65"/>
    </row>
    <row r="24" spans="2:10" x14ac:dyDescent="0.35">
      <c r="B24" s="18" t="s">
        <v>62</v>
      </c>
      <c r="C24" s="15"/>
      <c r="D24" s="11"/>
      <c r="E24" s="10"/>
      <c r="F24" s="13"/>
      <c r="G24" s="9"/>
      <c r="J24" s="65"/>
    </row>
    <row r="25" spans="2:10" x14ac:dyDescent="0.35">
      <c r="B25" s="10" t="s">
        <v>126</v>
      </c>
      <c r="C25" s="15"/>
      <c r="D25" s="11"/>
      <c r="E25" s="13">
        <v>12350</v>
      </c>
      <c r="F25" s="13"/>
      <c r="G25" s="9"/>
      <c r="J25" s="65"/>
    </row>
    <row r="26" spans="2:10" x14ac:dyDescent="0.35">
      <c r="B26" s="40"/>
      <c r="C26" s="15"/>
      <c r="D26" s="11"/>
      <c r="E26" s="13"/>
      <c r="F26" s="13"/>
      <c r="J26" s="65"/>
    </row>
    <row r="27" spans="2:10" x14ac:dyDescent="0.35">
      <c r="B27" s="18" t="s">
        <v>64</v>
      </c>
      <c r="C27" s="9"/>
      <c r="D27" s="11"/>
      <c r="E27" s="13"/>
      <c r="F27" s="13"/>
      <c r="G27" s="9"/>
      <c r="J27" s="65"/>
    </row>
    <row r="28" spans="2:10" x14ac:dyDescent="0.35">
      <c r="B28" s="10" t="s">
        <v>261</v>
      </c>
      <c r="C28" s="9"/>
      <c r="D28" s="11"/>
      <c r="E28" s="12">
        <v>-16000</v>
      </c>
      <c r="F28" s="12">
        <f>E25+E28</f>
        <v>-3650</v>
      </c>
      <c r="G28" s="9"/>
      <c r="J28" s="65"/>
    </row>
    <row r="29" spans="2:10" x14ac:dyDescent="0.35">
      <c r="B29" s="40"/>
      <c r="C29" s="15" t="s">
        <v>182</v>
      </c>
      <c r="D29" s="11"/>
      <c r="E29" s="10"/>
      <c r="F29" s="27">
        <f>F23+F28</f>
        <v>-46870</v>
      </c>
      <c r="G29" s="9"/>
      <c r="J29" s="65"/>
    </row>
    <row r="30" spans="2:10" x14ac:dyDescent="0.35">
      <c r="B30" s="10" t="s">
        <v>258</v>
      </c>
      <c r="C30" s="9"/>
      <c r="D30" s="11"/>
      <c r="E30" s="10"/>
      <c r="F30" s="67">
        <v>3700</v>
      </c>
      <c r="G30" s="9"/>
      <c r="J30" s="65"/>
    </row>
    <row r="31" spans="2:10" x14ac:dyDescent="0.35">
      <c r="B31" s="10"/>
      <c r="C31" s="15" t="s">
        <v>183</v>
      </c>
      <c r="D31" s="11"/>
      <c r="E31" s="10"/>
      <c r="F31" s="68">
        <f>F29-F30</f>
        <v>-50570</v>
      </c>
      <c r="G31" s="9"/>
      <c r="J31" s="65"/>
    </row>
    <row r="32" spans="2:10" x14ac:dyDescent="0.35">
      <c r="B32" s="10" t="s">
        <v>273</v>
      </c>
      <c r="C32" s="9"/>
      <c r="D32" s="11"/>
      <c r="E32" s="10"/>
      <c r="F32" s="67">
        <f>F31*0.35</f>
        <v>-17699.5</v>
      </c>
      <c r="G32" s="9"/>
      <c r="I32" s="59"/>
      <c r="J32" s="65"/>
    </row>
    <row r="33" spans="2:12" ht="15" thickBot="1" x14ac:dyDescent="0.4">
      <c r="B33" s="10"/>
      <c r="C33" s="15" t="s">
        <v>259</v>
      </c>
      <c r="D33" s="11"/>
      <c r="E33" s="10"/>
      <c r="F33" s="19">
        <f>F31+F32</f>
        <v>-68269.5</v>
      </c>
      <c r="G33" s="9"/>
    </row>
    <row r="34" spans="2:12" ht="15.5" thickTop="1" thickBot="1" x14ac:dyDescent="0.4">
      <c r="B34" s="21"/>
      <c r="C34" s="26"/>
      <c r="D34" s="23"/>
      <c r="E34" s="21"/>
      <c r="F34" s="24"/>
      <c r="G34" s="9"/>
      <c r="I34" s="62"/>
    </row>
    <row r="35" spans="2:12" x14ac:dyDescent="0.35">
      <c r="B35" s="94" t="s">
        <v>215</v>
      </c>
      <c r="C35" s="94"/>
      <c r="D35" s="94"/>
      <c r="E35" s="94"/>
      <c r="F35" s="94"/>
      <c r="G35" s="94"/>
      <c r="H35" s="94"/>
    </row>
    <row r="36" spans="2:12" x14ac:dyDescent="0.35">
      <c r="B36" s="94"/>
      <c r="C36" s="94"/>
      <c r="D36" s="94"/>
      <c r="E36" s="94"/>
      <c r="F36" s="94"/>
      <c r="G36" s="94"/>
      <c r="H36" s="94"/>
    </row>
    <row r="37" spans="2:12" x14ac:dyDescent="0.35">
      <c r="B37" s="94" t="s">
        <v>271</v>
      </c>
      <c r="C37" s="94"/>
      <c r="D37" s="94"/>
      <c r="E37" s="94"/>
      <c r="F37" s="94"/>
      <c r="G37" s="94"/>
      <c r="H37" s="94"/>
    </row>
    <row r="38" spans="2:12" ht="15" thickBot="1" x14ac:dyDescent="0.4">
      <c r="B38" s="94" t="s">
        <v>44</v>
      </c>
      <c r="C38" s="94"/>
      <c r="D38" s="94"/>
      <c r="E38" s="94"/>
      <c r="F38" s="94"/>
      <c r="G38" s="94"/>
      <c r="H38" s="94"/>
    </row>
    <row r="39" spans="2:12" ht="15" thickBot="1" x14ac:dyDescent="0.4">
      <c r="B39" s="5"/>
      <c r="C39" s="6"/>
      <c r="D39" s="7"/>
      <c r="E39" s="35" t="s">
        <v>11</v>
      </c>
      <c r="F39" s="69" t="s">
        <v>52</v>
      </c>
      <c r="G39" s="69" t="s">
        <v>13</v>
      </c>
      <c r="H39" s="36" t="s">
        <v>31</v>
      </c>
    </row>
    <row r="40" spans="2:12" x14ac:dyDescent="0.35">
      <c r="B40" s="18" t="s">
        <v>184</v>
      </c>
      <c r="C40" s="9"/>
      <c r="D40" s="11"/>
      <c r="E40" s="8">
        <v>250000</v>
      </c>
      <c r="F40" s="5">
        <v>180000</v>
      </c>
      <c r="G40" s="5">
        <v>360000</v>
      </c>
      <c r="H40" s="13">
        <f>SUM(E40:G40)</f>
        <v>790000</v>
      </c>
    </row>
    <row r="41" spans="2:12" x14ac:dyDescent="0.35">
      <c r="B41" s="18" t="s">
        <v>195</v>
      </c>
      <c r="C41" s="9"/>
      <c r="D41" s="11"/>
      <c r="E41" s="13">
        <v>5000</v>
      </c>
      <c r="F41" s="10">
        <v>1000</v>
      </c>
      <c r="G41" s="10"/>
      <c r="H41" s="13">
        <f t="shared" ref="H41:H43" si="0">SUM(E41:G41)</f>
        <v>6000</v>
      </c>
    </row>
    <row r="42" spans="2:12" x14ac:dyDescent="0.35">
      <c r="B42" s="18" t="s">
        <v>260</v>
      </c>
      <c r="C42" s="9"/>
      <c r="D42" s="11"/>
      <c r="E42" s="20"/>
      <c r="F42" s="10"/>
      <c r="G42" s="10">
        <f>F33</f>
        <v>-68269.5</v>
      </c>
      <c r="H42" s="13">
        <f t="shared" si="0"/>
        <v>-68269.5</v>
      </c>
    </row>
    <row r="43" spans="2:12" x14ac:dyDescent="0.35">
      <c r="B43" s="18" t="s">
        <v>272</v>
      </c>
      <c r="C43" s="9"/>
      <c r="D43" s="11"/>
      <c r="E43" s="12"/>
      <c r="F43" s="70"/>
      <c r="G43" s="70">
        <v>51000</v>
      </c>
      <c r="H43" s="12">
        <f t="shared" si="0"/>
        <v>51000</v>
      </c>
    </row>
    <row r="44" spans="2:12" ht="15" thickBot="1" x14ac:dyDescent="0.4">
      <c r="B44" s="38"/>
      <c r="C44" s="26"/>
      <c r="D44" s="23"/>
      <c r="E44" s="25">
        <f>SUM(E40:E43)</f>
        <v>255000</v>
      </c>
      <c r="F44" s="25">
        <f>SUM(F40:F43)</f>
        <v>181000</v>
      </c>
      <c r="G44" s="38">
        <v>240730</v>
      </c>
      <c r="H44" s="25">
        <f>SUM(E44:G44)</f>
        <v>676730</v>
      </c>
      <c r="K44" s="9"/>
    </row>
    <row r="45" spans="2:12" x14ac:dyDescent="0.35">
      <c r="B45" s="9"/>
      <c r="C45" s="9"/>
      <c r="D45" s="9"/>
      <c r="E45" s="9"/>
      <c r="F45" s="9"/>
      <c r="G45" s="9"/>
    </row>
    <row r="46" spans="2:12" x14ac:dyDescent="0.35">
      <c r="B46" s="9"/>
      <c r="C46" s="9"/>
      <c r="D46" s="9"/>
      <c r="E46" s="9"/>
      <c r="F46" s="9"/>
      <c r="G46" s="9"/>
    </row>
    <row r="47" spans="2:12" x14ac:dyDescent="0.35">
      <c r="B47" s="9"/>
      <c r="C47" s="9"/>
      <c r="D47" s="9"/>
      <c r="E47" s="9"/>
      <c r="F47" s="9"/>
      <c r="G47" s="9"/>
    </row>
    <row r="48" spans="2:12" x14ac:dyDescent="0.35">
      <c r="B48" s="92" t="s">
        <v>215</v>
      </c>
      <c r="C48" s="92"/>
      <c r="D48" s="92"/>
      <c r="E48" s="92"/>
      <c r="F48" s="92"/>
      <c r="G48" s="9"/>
      <c r="H48" s="9"/>
      <c r="I48" s="9"/>
      <c r="J48" s="9"/>
      <c r="K48" s="9"/>
      <c r="L48" s="9"/>
    </row>
    <row r="49" spans="2:12" x14ac:dyDescent="0.35">
      <c r="B49" s="92" t="s">
        <v>33</v>
      </c>
      <c r="C49" s="92"/>
      <c r="D49" s="92"/>
      <c r="E49" s="92"/>
      <c r="F49" s="92"/>
      <c r="G49" s="9"/>
      <c r="H49" s="9"/>
      <c r="I49" s="9"/>
      <c r="J49" s="9"/>
      <c r="K49" s="9"/>
      <c r="L49" s="9"/>
    </row>
    <row r="50" spans="2:12" ht="15" thickBot="1" x14ac:dyDescent="0.4">
      <c r="B50" s="93" t="s">
        <v>45</v>
      </c>
      <c r="C50" s="93"/>
      <c r="D50" s="93"/>
      <c r="E50" s="93"/>
      <c r="F50" s="93"/>
      <c r="G50" s="9"/>
      <c r="H50" s="9"/>
      <c r="I50" s="9"/>
      <c r="J50" s="9"/>
      <c r="K50" s="9"/>
      <c r="L50" s="9"/>
    </row>
    <row r="51" spans="2:12" ht="16" thickBot="1" x14ac:dyDescent="0.4">
      <c r="B51" s="95" t="s">
        <v>34</v>
      </c>
      <c r="C51" s="96"/>
      <c r="D51" s="96"/>
      <c r="E51" s="96"/>
      <c r="F51" s="97"/>
      <c r="G51" s="9"/>
      <c r="H51" s="9"/>
      <c r="I51" s="9"/>
      <c r="J51" s="9"/>
      <c r="K51" s="9"/>
      <c r="L51" s="9"/>
    </row>
    <row r="52" spans="2:12" x14ac:dyDescent="0.35">
      <c r="B52" s="14" t="s">
        <v>185</v>
      </c>
      <c r="C52" s="6"/>
      <c r="D52" s="7"/>
      <c r="E52" s="8"/>
      <c r="F52" s="8"/>
      <c r="G52" s="9"/>
      <c r="H52" s="9"/>
      <c r="I52" s="9"/>
      <c r="J52" s="9"/>
      <c r="K52" s="9"/>
      <c r="L52" s="9"/>
    </row>
    <row r="53" spans="2:12" x14ac:dyDescent="0.35">
      <c r="B53" s="10" t="s">
        <v>274</v>
      </c>
      <c r="C53" s="9"/>
      <c r="D53" s="11"/>
      <c r="E53" s="13">
        <f>34200+6000</f>
        <v>40200</v>
      </c>
      <c r="F53" s="13"/>
      <c r="G53" s="9"/>
      <c r="H53" s="9"/>
      <c r="I53" s="9"/>
      <c r="J53" s="9"/>
      <c r="K53" s="9"/>
      <c r="L53" s="9"/>
    </row>
    <row r="54" spans="2:12" x14ac:dyDescent="0.35">
      <c r="B54" s="10" t="s">
        <v>83</v>
      </c>
      <c r="C54" s="9"/>
      <c r="D54" s="11"/>
      <c r="E54" s="13">
        <v>190000</v>
      </c>
      <c r="F54" s="13"/>
      <c r="G54" s="9"/>
      <c r="H54" s="9"/>
      <c r="I54" s="9"/>
      <c r="J54" s="9"/>
      <c r="K54" s="9"/>
      <c r="L54" s="9"/>
    </row>
    <row r="55" spans="2:12" x14ac:dyDescent="0.35">
      <c r="B55" s="10" t="s">
        <v>159</v>
      </c>
      <c r="C55" s="9"/>
      <c r="D55" s="11"/>
      <c r="E55" s="83">
        <v>109500</v>
      </c>
      <c r="F55" s="13"/>
      <c r="G55" s="9"/>
      <c r="H55" s="9"/>
      <c r="I55" s="9"/>
      <c r="J55" s="9"/>
      <c r="K55" s="9"/>
      <c r="L55" s="9"/>
    </row>
    <row r="56" spans="2:12" x14ac:dyDescent="0.35">
      <c r="B56" s="10" t="s">
        <v>191</v>
      </c>
      <c r="C56" s="9"/>
      <c r="D56" s="11"/>
      <c r="E56" s="13">
        <v>800</v>
      </c>
      <c r="F56" s="13"/>
      <c r="G56" s="9"/>
      <c r="H56" s="9"/>
      <c r="I56" s="9"/>
      <c r="J56" s="9"/>
      <c r="K56" s="9"/>
      <c r="L56" s="9"/>
    </row>
    <row r="57" spans="2:12" x14ac:dyDescent="0.35">
      <c r="B57" s="10" t="s">
        <v>262</v>
      </c>
      <c r="C57" s="9"/>
      <c r="D57" s="11"/>
      <c r="E57" s="13">
        <v>15000</v>
      </c>
      <c r="F57" s="13"/>
      <c r="G57" s="9"/>
      <c r="H57" s="9"/>
      <c r="I57" s="9"/>
      <c r="J57" s="9"/>
      <c r="K57" s="9"/>
      <c r="L57" s="9"/>
    </row>
    <row r="58" spans="2:12" x14ac:dyDescent="0.35">
      <c r="B58" s="10"/>
      <c r="C58" s="9"/>
      <c r="D58" s="11"/>
      <c r="E58" s="12"/>
      <c r="F58" s="13"/>
      <c r="G58" s="9"/>
      <c r="H58" s="9"/>
      <c r="I58" s="9"/>
      <c r="J58" s="9"/>
      <c r="K58" s="9"/>
      <c r="L58" s="9"/>
    </row>
    <row r="59" spans="2:12" x14ac:dyDescent="0.35">
      <c r="B59" s="10"/>
      <c r="C59" s="79" t="s">
        <v>208</v>
      </c>
      <c r="D59" s="11"/>
      <c r="E59" s="13"/>
      <c r="F59" s="13">
        <f>SUM(E53:E57)</f>
        <v>355500</v>
      </c>
      <c r="G59" s="9"/>
      <c r="H59" s="9"/>
      <c r="I59" s="9"/>
      <c r="J59" s="9"/>
      <c r="K59" s="9"/>
      <c r="L59" s="9"/>
    </row>
    <row r="60" spans="2:12" ht="15" thickBot="1" x14ac:dyDescent="0.4">
      <c r="B60" s="10"/>
      <c r="C60" s="15"/>
      <c r="D60" s="11"/>
      <c r="E60" s="13"/>
      <c r="F60" s="13"/>
      <c r="G60" s="9"/>
      <c r="H60" s="9"/>
      <c r="I60" s="9"/>
      <c r="J60" s="9"/>
      <c r="K60" s="9"/>
      <c r="L60" s="9"/>
    </row>
    <row r="61" spans="2:12" x14ac:dyDescent="0.35">
      <c r="B61" s="14" t="s">
        <v>186</v>
      </c>
      <c r="C61" s="9"/>
      <c r="D61" s="11"/>
      <c r="E61" s="13"/>
      <c r="F61" s="13"/>
      <c r="G61" s="9"/>
      <c r="H61" s="9"/>
      <c r="I61" s="9"/>
      <c r="J61" s="9"/>
      <c r="K61" s="9"/>
      <c r="L61" s="9"/>
    </row>
    <row r="62" spans="2:12" x14ac:dyDescent="0.35">
      <c r="B62" s="10" t="s">
        <v>263</v>
      </c>
      <c r="C62" s="9"/>
      <c r="D62" s="11">
        <v>115200</v>
      </c>
      <c r="E62" s="13"/>
      <c r="F62" s="13"/>
      <c r="G62" s="9"/>
      <c r="H62" s="9"/>
      <c r="I62" s="9"/>
      <c r="J62" s="9"/>
      <c r="K62" s="9"/>
      <c r="L62" s="9"/>
    </row>
    <row r="63" spans="2:12" x14ac:dyDescent="0.35">
      <c r="B63" s="10" t="s">
        <v>265</v>
      </c>
      <c r="C63" s="9"/>
      <c r="D63" s="30">
        <f>40400+23040</f>
        <v>63440</v>
      </c>
      <c r="E63" s="13">
        <f>D62-D63</f>
        <v>51760</v>
      </c>
      <c r="F63" s="13"/>
      <c r="G63" s="9"/>
      <c r="H63" s="9"/>
      <c r="I63" s="9"/>
      <c r="J63" s="9"/>
      <c r="K63" s="9"/>
      <c r="L63" s="9"/>
    </row>
    <row r="64" spans="2:12" x14ac:dyDescent="0.35">
      <c r="B64" s="10"/>
      <c r="C64" s="9"/>
      <c r="D64" s="11"/>
      <c r="E64" s="17"/>
      <c r="F64" s="13"/>
      <c r="G64" s="9"/>
      <c r="H64" s="9"/>
      <c r="I64" s="9"/>
      <c r="J64" s="9"/>
      <c r="K64" s="9"/>
      <c r="L64" s="9"/>
    </row>
    <row r="65" spans="2:12" x14ac:dyDescent="0.35">
      <c r="B65" s="10" t="s">
        <v>6</v>
      </c>
      <c r="C65" s="9"/>
      <c r="D65" s="11">
        <v>320000</v>
      </c>
      <c r="E65" s="13"/>
      <c r="F65" s="13"/>
      <c r="G65" s="9"/>
      <c r="H65" s="9"/>
      <c r="I65" s="9"/>
      <c r="J65" s="9"/>
      <c r="K65" s="9"/>
      <c r="L65" s="9"/>
    </row>
    <row r="66" spans="2:12" x14ac:dyDescent="0.35">
      <c r="B66" s="10" t="s">
        <v>266</v>
      </c>
      <c r="C66" s="9"/>
      <c r="D66" s="30">
        <f>65900+76230</f>
        <v>142130</v>
      </c>
      <c r="E66" s="13">
        <f>D65-D66</f>
        <v>177870</v>
      </c>
      <c r="F66" s="13"/>
      <c r="G66" s="9"/>
      <c r="H66" s="9"/>
      <c r="I66" s="9"/>
      <c r="J66" s="9"/>
      <c r="K66" s="9"/>
      <c r="L66" s="9"/>
    </row>
    <row r="67" spans="2:12" x14ac:dyDescent="0.35">
      <c r="B67" s="10"/>
      <c r="C67" s="9"/>
      <c r="D67" s="11"/>
      <c r="E67" s="17"/>
      <c r="F67" s="13"/>
      <c r="G67" s="9"/>
      <c r="H67" s="9"/>
      <c r="I67" s="9"/>
      <c r="J67" s="9"/>
      <c r="K67" s="9"/>
      <c r="L67" s="9"/>
    </row>
    <row r="68" spans="2:12" x14ac:dyDescent="0.35">
      <c r="B68" s="10" t="s">
        <v>267</v>
      </c>
      <c r="C68" s="9"/>
      <c r="D68" s="11"/>
      <c r="E68" s="12">
        <v>250000</v>
      </c>
      <c r="F68" s="13"/>
      <c r="G68" s="9"/>
      <c r="H68" s="9"/>
      <c r="I68" s="9"/>
      <c r="J68" s="9"/>
      <c r="K68" s="9"/>
      <c r="L68" s="9"/>
    </row>
    <row r="69" spans="2:12" x14ac:dyDescent="0.35">
      <c r="B69" s="10"/>
      <c r="C69" s="79" t="s">
        <v>218</v>
      </c>
      <c r="D69" s="11"/>
      <c r="E69" s="13"/>
      <c r="F69" s="13">
        <f>SUM(E62:E68)</f>
        <v>479630</v>
      </c>
      <c r="G69" s="9"/>
      <c r="H69" s="9"/>
      <c r="I69" s="9"/>
      <c r="J69" s="9"/>
      <c r="K69" s="9"/>
      <c r="L69" s="9"/>
    </row>
    <row r="70" spans="2:12" x14ac:dyDescent="0.35">
      <c r="B70" s="10"/>
      <c r="C70" s="9"/>
      <c r="D70" s="11"/>
      <c r="E70" s="13"/>
      <c r="F70" s="12"/>
      <c r="G70" s="9"/>
      <c r="H70" s="9"/>
      <c r="I70" s="9"/>
      <c r="J70" s="9"/>
      <c r="K70" s="9"/>
      <c r="L70" s="9"/>
    </row>
    <row r="71" spans="2:12" ht="15" thickBot="1" x14ac:dyDescent="0.4">
      <c r="B71" s="10"/>
      <c r="C71" s="72" t="s">
        <v>209</v>
      </c>
      <c r="D71" s="11"/>
      <c r="E71" s="13"/>
      <c r="F71" s="19">
        <f>SUM(F54:F69)</f>
        <v>835130</v>
      </c>
      <c r="G71" s="9"/>
      <c r="H71" s="9"/>
      <c r="I71" s="9"/>
      <c r="J71" s="9"/>
      <c r="K71" s="9"/>
      <c r="L71" s="9"/>
    </row>
    <row r="72" spans="2:12" ht="15.5" thickTop="1" thickBot="1" x14ac:dyDescent="0.4">
      <c r="B72" s="21"/>
      <c r="C72" s="26"/>
      <c r="D72" s="23"/>
      <c r="E72" s="24"/>
      <c r="F72" s="24"/>
      <c r="G72" s="9"/>
      <c r="H72" s="9"/>
      <c r="I72" s="9"/>
      <c r="J72" s="9"/>
      <c r="K72" s="9"/>
      <c r="L72" s="9"/>
    </row>
    <row r="73" spans="2:12" ht="16" thickBot="1" x14ac:dyDescent="0.4">
      <c r="B73" s="98" t="s">
        <v>39</v>
      </c>
      <c r="C73" s="99"/>
      <c r="D73" s="99"/>
      <c r="E73" s="99"/>
      <c r="F73" s="100"/>
      <c r="G73" s="9"/>
      <c r="H73" s="9"/>
      <c r="I73" s="9"/>
      <c r="J73" s="9"/>
      <c r="K73" s="9"/>
      <c r="L73" s="9"/>
    </row>
    <row r="74" spans="2:12" ht="16" thickBot="1" x14ac:dyDescent="0.4">
      <c r="B74" s="73"/>
      <c r="C74" s="74" t="s">
        <v>202</v>
      </c>
      <c r="D74" s="75"/>
      <c r="E74" s="75"/>
      <c r="F74" s="76"/>
      <c r="G74" s="9"/>
      <c r="H74" s="9"/>
      <c r="I74" s="9"/>
      <c r="J74" s="9"/>
      <c r="K74" s="9"/>
      <c r="L74" s="9"/>
    </row>
    <row r="75" spans="2:12" x14ac:dyDescent="0.35">
      <c r="B75" s="14" t="s">
        <v>187</v>
      </c>
      <c r="C75" s="6"/>
      <c r="D75" s="7"/>
      <c r="E75" s="5"/>
      <c r="F75" s="8"/>
      <c r="G75" s="9"/>
      <c r="H75" s="9"/>
      <c r="I75" s="9"/>
      <c r="J75" s="9"/>
      <c r="K75" s="9"/>
      <c r="L75" s="9"/>
    </row>
    <row r="76" spans="2:12" x14ac:dyDescent="0.35">
      <c r="B76" s="10" t="s">
        <v>8</v>
      </c>
      <c r="C76" s="9"/>
      <c r="D76" s="11"/>
      <c r="E76" s="13">
        <v>49000</v>
      </c>
      <c r="F76" s="13"/>
      <c r="G76" s="9"/>
      <c r="H76" s="9"/>
      <c r="I76" s="9"/>
      <c r="J76" s="9"/>
      <c r="K76" s="9"/>
      <c r="L76" s="9"/>
    </row>
    <row r="77" spans="2:12" x14ac:dyDescent="0.35">
      <c r="B77" s="10" t="s">
        <v>153</v>
      </c>
      <c r="C77" s="9"/>
      <c r="D77" s="11"/>
      <c r="E77" s="13">
        <v>17700</v>
      </c>
      <c r="F77" s="13"/>
      <c r="G77" s="9"/>
      <c r="H77" s="9"/>
      <c r="I77" s="9"/>
      <c r="J77" s="9"/>
      <c r="K77" s="9"/>
      <c r="L77" s="9"/>
    </row>
    <row r="78" spans="2:12" x14ac:dyDescent="0.35">
      <c r="B78" s="10" t="s">
        <v>82</v>
      </c>
      <c r="C78" s="9"/>
      <c r="D78" s="11"/>
      <c r="E78" s="12">
        <v>51000</v>
      </c>
      <c r="F78" s="13"/>
      <c r="G78" s="9"/>
      <c r="H78" s="9"/>
      <c r="I78" s="9"/>
      <c r="J78" s="9"/>
      <c r="K78" s="9"/>
      <c r="L78" s="9"/>
    </row>
    <row r="79" spans="2:12" x14ac:dyDescent="0.35">
      <c r="B79" s="10" t="s">
        <v>152</v>
      </c>
      <c r="C79" s="9"/>
      <c r="D79" s="11"/>
      <c r="E79" s="10">
        <v>3700</v>
      </c>
      <c r="G79" s="9"/>
      <c r="H79" s="9"/>
      <c r="I79" s="9"/>
      <c r="J79" s="9"/>
      <c r="K79" s="9"/>
      <c r="L79" s="9"/>
    </row>
    <row r="80" spans="2:12" x14ac:dyDescent="0.35">
      <c r="B80" s="18"/>
      <c r="C80" s="79" t="s">
        <v>78</v>
      </c>
      <c r="D80" s="11"/>
      <c r="E80" s="10"/>
      <c r="F80" s="13">
        <v>121400</v>
      </c>
      <c r="G80" s="9"/>
      <c r="H80" s="9"/>
      <c r="I80" s="9"/>
      <c r="J80" s="9"/>
      <c r="K80" s="9"/>
      <c r="L80" s="9"/>
    </row>
    <row r="81" spans="2:12" x14ac:dyDescent="0.35">
      <c r="B81" s="10"/>
      <c r="C81" s="15"/>
      <c r="D81" s="11"/>
      <c r="E81" s="10"/>
      <c r="F81" s="13"/>
      <c r="G81" s="9"/>
      <c r="H81" s="9"/>
      <c r="I81" s="9"/>
      <c r="J81" s="9"/>
      <c r="K81" s="9"/>
      <c r="L81" s="9"/>
    </row>
    <row r="82" spans="2:12" x14ac:dyDescent="0.35">
      <c r="B82" s="18" t="s">
        <v>188</v>
      </c>
      <c r="C82" s="15"/>
      <c r="D82" s="11"/>
      <c r="E82" s="10"/>
      <c r="F82" s="13"/>
      <c r="G82" s="9"/>
      <c r="H82" s="9"/>
      <c r="I82" s="9"/>
      <c r="J82" s="9"/>
      <c r="K82" s="9"/>
      <c r="L82" s="9"/>
    </row>
    <row r="83" spans="2:12" x14ac:dyDescent="0.35">
      <c r="B83" s="10" t="s">
        <v>268</v>
      </c>
      <c r="C83" s="9"/>
      <c r="D83" s="11"/>
      <c r="E83" s="12">
        <v>37000</v>
      </c>
      <c r="F83" s="13"/>
      <c r="G83" s="9"/>
      <c r="H83" s="9"/>
      <c r="I83" s="9"/>
      <c r="J83" s="9"/>
      <c r="K83" s="9"/>
      <c r="L83" s="9"/>
    </row>
    <row r="84" spans="2:12" x14ac:dyDescent="0.35">
      <c r="B84" s="16"/>
      <c r="C84" s="9"/>
      <c r="D84" s="11"/>
      <c r="E84" s="10"/>
      <c r="F84" s="13">
        <f>SUM(E81:E83)</f>
        <v>37000</v>
      </c>
      <c r="G84" s="9"/>
      <c r="H84" s="9"/>
      <c r="I84" s="9"/>
      <c r="J84" s="9"/>
      <c r="K84" s="9"/>
      <c r="L84" s="9"/>
    </row>
    <row r="85" spans="2:12" x14ac:dyDescent="0.35">
      <c r="B85" s="10"/>
      <c r="C85" s="79" t="s">
        <v>72</v>
      </c>
      <c r="D85" s="11"/>
      <c r="E85" s="10"/>
      <c r="F85" s="12"/>
      <c r="G85" s="9"/>
      <c r="H85" s="9"/>
      <c r="I85" s="9"/>
      <c r="J85" s="9"/>
      <c r="K85" s="9"/>
      <c r="L85" s="9"/>
    </row>
    <row r="86" spans="2:12" x14ac:dyDescent="0.35">
      <c r="B86" s="16"/>
      <c r="C86" s="9"/>
      <c r="D86" s="11"/>
      <c r="E86" s="10"/>
      <c r="F86" s="13">
        <f>SUM(F76:F85)</f>
        <v>158400</v>
      </c>
      <c r="G86" s="9"/>
      <c r="H86" s="9"/>
      <c r="I86" s="9"/>
      <c r="J86" s="9"/>
      <c r="K86" s="9"/>
      <c r="L86" s="9"/>
    </row>
    <row r="87" spans="2:12" x14ac:dyDescent="0.35">
      <c r="B87" s="18"/>
      <c r="C87" s="72" t="s">
        <v>210</v>
      </c>
      <c r="D87" s="11"/>
      <c r="E87" s="10"/>
      <c r="F87" s="13"/>
      <c r="G87" s="9"/>
      <c r="H87" s="9"/>
      <c r="I87" s="9"/>
      <c r="J87" s="9"/>
      <c r="K87" s="9"/>
      <c r="L87" s="9"/>
    </row>
    <row r="88" spans="2:12" x14ac:dyDescent="0.35">
      <c r="B88" s="10"/>
      <c r="D88" s="11"/>
      <c r="E88" s="40"/>
      <c r="F88" s="13"/>
      <c r="G88" s="9"/>
      <c r="H88" s="9"/>
      <c r="I88" s="9"/>
      <c r="J88" s="9"/>
      <c r="K88" s="9"/>
      <c r="L88" s="9"/>
    </row>
    <row r="89" spans="2:12" x14ac:dyDescent="0.35">
      <c r="B89" s="72" t="s">
        <v>201</v>
      </c>
      <c r="C89" s="9"/>
      <c r="D89" s="11"/>
      <c r="E89" s="10"/>
      <c r="F89" s="13"/>
      <c r="G89" s="9"/>
      <c r="H89" s="9"/>
      <c r="I89" s="9"/>
      <c r="J89" s="9"/>
      <c r="K89" s="9"/>
      <c r="L89" s="9"/>
    </row>
    <row r="90" spans="2:12" x14ac:dyDescent="0.35">
      <c r="B90" s="16" t="s">
        <v>189</v>
      </c>
      <c r="D90" s="11"/>
      <c r="E90" s="10"/>
      <c r="F90" s="13"/>
      <c r="G90" s="9"/>
      <c r="H90" s="9"/>
      <c r="I90" s="9"/>
      <c r="J90" s="9"/>
      <c r="K90" s="9"/>
      <c r="L90" s="9"/>
    </row>
    <row r="91" spans="2:12" x14ac:dyDescent="0.35">
      <c r="B91" s="10" t="s">
        <v>11</v>
      </c>
      <c r="C91" s="9"/>
      <c r="D91" s="11"/>
      <c r="E91" s="13">
        <f>E44</f>
        <v>255000</v>
      </c>
      <c r="F91" s="13"/>
      <c r="G91" s="9"/>
      <c r="H91" s="9"/>
      <c r="I91" s="9"/>
      <c r="J91" s="9"/>
      <c r="K91" s="9"/>
      <c r="L91" s="9"/>
    </row>
    <row r="92" spans="2:12" x14ac:dyDescent="0.35">
      <c r="B92" s="10"/>
      <c r="C92" s="9"/>
      <c r="D92" s="11"/>
      <c r="E92" s="13"/>
      <c r="F92" s="13"/>
      <c r="G92" s="9"/>
      <c r="H92" s="9"/>
      <c r="I92" s="9"/>
      <c r="J92" s="9"/>
      <c r="K92" s="9"/>
      <c r="L92" s="9"/>
    </row>
    <row r="93" spans="2:12" x14ac:dyDescent="0.35">
      <c r="B93" s="16" t="s">
        <v>190</v>
      </c>
      <c r="C93" s="9"/>
      <c r="D93" s="11"/>
      <c r="E93" s="13"/>
      <c r="F93" s="13"/>
      <c r="G93" s="9"/>
      <c r="H93" s="9"/>
      <c r="I93" s="9"/>
      <c r="J93" s="9"/>
      <c r="K93" s="9"/>
      <c r="L93" s="9"/>
    </row>
    <row r="94" spans="2:12" x14ac:dyDescent="0.35">
      <c r="B94" s="10" t="s">
        <v>11</v>
      </c>
      <c r="C94" s="9"/>
      <c r="D94" s="11"/>
      <c r="E94" s="13">
        <f>F44</f>
        <v>181000</v>
      </c>
      <c r="F94" s="13"/>
      <c r="G94" s="9"/>
      <c r="H94" s="9"/>
      <c r="I94" s="9"/>
      <c r="J94" s="9"/>
      <c r="K94" s="9"/>
      <c r="L94" s="9"/>
    </row>
    <row r="95" spans="2:12" x14ac:dyDescent="0.35">
      <c r="B95" s="10"/>
      <c r="C95" s="9"/>
      <c r="D95" s="11"/>
      <c r="E95" s="13"/>
      <c r="F95" s="13"/>
      <c r="G95" s="9"/>
      <c r="H95" s="9"/>
      <c r="I95" s="9"/>
      <c r="J95" s="9"/>
      <c r="K95" s="9"/>
      <c r="L95" s="9"/>
    </row>
    <row r="96" spans="2:12" x14ac:dyDescent="0.35">
      <c r="B96" s="16" t="s">
        <v>13</v>
      </c>
      <c r="C96" s="15"/>
      <c r="D96" s="11"/>
      <c r="E96" s="12">
        <f>G44</f>
        <v>240730</v>
      </c>
      <c r="F96" s="13"/>
      <c r="G96" s="9"/>
      <c r="H96" s="9"/>
      <c r="I96" s="9"/>
      <c r="J96" s="9"/>
      <c r="K96" s="9"/>
      <c r="L96" s="9"/>
    </row>
    <row r="97" spans="2:12" x14ac:dyDescent="0.35">
      <c r="B97" s="10"/>
      <c r="C97" s="9"/>
      <c r="D97" s="11"/>
      <c r="E97" s="10"/>
      <c r="F97" s="71">
        <f>SUM(E91:E96)</f>
        <v>676730</v>
      </c>
      <c r="G97" s="9"/>
      <c r="H97" s="9"/>
      <c r="I97" s="9"/>
      <c r="J97" s="9"/>
      <c r="K97" s="9"/>
      <c r="L97" s="9"/>
    </row>
    <row r="98" spans="2:12" ht="15" thickBot="1" x14ac:dyDescent="0.4">
      <c r="B98" s="10"/>
      <c r="C98" s="15" t="s">
        <v>211</v>
      </c>
      <c r="D98" s="11"/>
      <c r="E98" s="10"/>
      <c r="F98" s="19">
        <f>F86+F97</f>
        <v>835130</v>
      </c>
    </row>
    <row r="99" spans="2:12" ht="15.5" thickTop="1" thickBot="1" x14ac:dyDescent="0.4">
      <c r="B99" s="21"/>
      <c r="C99" s="72" t="s">
        <v>219</v>
      </c>
      <c r="D99" s="23"/>
      <c r="E99" s="21"/>
      <c r="F99" s="24"/>
    </row>
    <row r="100" spans="2:12" ht="15" thickBot="1" x14ac:dyDescent="0.4">
      <c r="B100" s="9"/>
      <c r="C100" s="26"/>
      <c r="D100" s="9"/>
      <c r="E100" s="9"/>
      <c r="F100" s="9"/>
    </row>
    <row r="101" spans="2:12" x14ac:dyDescent="0.35">
      <c r="B101" s="9"/>
      <c r="C101" s="9"/>
      <c r="D101" s="9"/>
      <c r="E101" s="9"/>
      <c r="F101" s="9"/>
    </row>
    <row r="102" spans="2:12" x14ac:dyDescent="0.35">
      <c r="C102" s="9"/>
    </row>
  </sheetData>
  <mergeCells count="11">
    <mergeCell ref="B48:F48"/>
    <mergeCell ref="B49:F49"/>
    <mergeCell ref="B50:F50"/>
    <mergeCell ref="B51:F51"/>
    <mergeCell ref="B73:F73"/>
    <mergeCell ref="B38:H38"/>
    <mergeCell ref="B1:F1"/>
    <mergeCell ref="B2:F2"/>
    <mergeCell ref="B3:F3"/>
    <mergeCell ref="B35:H36"/>
    <mergeCell ref="B37:H37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I39"/>
  <sheetViews>
    <sheetView topLeftCell="A10" workbookViewId="0">
      <selection activeCell="B14" sqref="B14"/>
    </sheetView>
  </sheetViews>
  <sheetFormatPr defaultColWidth="9.1796875" defaultRowHeight="14.5" x14ac:dyDescent="0.35"/>
  <cols>
    <col min="1" max="1" width="9.1796875" style="81"/>
    <col min="2" max="2" width="49.26953125" style="81" customWidth="1"/>
    <col min="3" max="3" width="11.54296875" style="81" customWidth="1"/>
    <col min="4" max="4" width="11.1796875" style="81" customWidth="1"/>
    <col min="5" max="5" width="9.1796875" style="81"/>
    <col min="6" max="6" width="36.26953125" style="81" customWidth="1"/>
    <col min="7" max="16384" width="9.1796875" style="81"/>
  </cols>
  <sheetData>
    <row r="2" spans="2:9" ht="39" customHeight="1" x14ac:dyDescent="0.35">
      <c r="B2" s="102" t="s">
        <v>223</v>
      </c>
      <c r="C2" s="102"/>
      <c r="D2" s="102"/>
      <c r="E2" s="102"/>
      <c r="F2" s="102"/>
      <c r="G2" s="102"/>
      <c r="H2" s="102"/>
      <c r="I2" s="102"/>
    </row>
    <row r="3" spans="2:9" x14ac:dyDescent="0.35">
      <c r="B3" s="86" t="s">
        <v>222</v>
      </c>
      <c r="C3" s="86" t="s">
        <v>0</v>
      </c>
      <c r="D3" s="86" t="s">
        <v>1</v>
      </c>
      <c r="E3" s="84"/>
    </row>
    <row r="4" spans="2:9" x14ac:dyDescent="0.35">
      <c r="B4" s="82" t="s">
        <v>2</v>
      </c>
      <c r="C4" s="83">
        <v>67500</v>
      </c>
      <c r="D4" s="83"/>
      <c r="E4" s="84"/>
    </row>
    <row r="5" spans="2:9" x14ac:dyDescent="0.35">
      <c r="B5" s="82" t="s">
        <v>4</v>
      </c>
      <c r="C5" s="83">
        <v>160000</v>
      </c>
      <c r="D5" s="83"/>
      <c r="E5" s="84"/>
    </row>
    <row r="6" spans="2:9" x14ac:dyDescent="0.35">
      <c r="B6" s="82" t="s">
        <v>3</v>
      </c>
      <c r="C6" s="83">
        <v>210000</v>
      </c>
      <c r="D6" s="83"/>
      <c r="E6" s="84"/>
    </row>
    <row r="7" spans="2:9" x14ac:dyDescent="0.35">
      <c r="B7" s="82" t="s">
        <v>113</v>
      </c>
      <c r="C7" s="83">
        <v>6300</v>
      </c>
      <c r="D7" s="83"/>
      <c r="E7" s="84"/>
    </row>
    <row r="8" spans="2:9" x14ac:dyDescent="0.35">
      <c r="B8" s="82" t="s">
        <v>114</v>
      </c>
      <c r="C8" s="83">
        <v>25000</v>
      </c>
      <c r="D8" s="83"/>
      <c r="E8" s="84"/>
    </row>
    <row r="9" spans="2:9" x14ac:dyDescent="0.35">
      <c r="B9" s="82" t="s">
        <v>224</v>
      </c>
      <c r="C9" s="83">
        <v>120000</v>
      </c>
      <c r="D9" s="83"/>
      <c r="E9" s="84"/>
    </row>
    <row r="10" spans="2:9" x14ac:dyDescent="0.35">
      <c r="B10" s="82" t="s">
        <v>225</v>
      </c>
      <c r="C10" s="83"/>
      <c r="D10" s="83">
        <v>36000</v>
      </c>
      <c r="E10" s="84"/>
    </row>
    <row r="11" spans="2:9" x14ac:dyDescent="0.35">
      <c r="B11" s="82" t="s">
        <v>115</v>
      </c>
      <c r="C11" s="83">
        <v>400000</v>
      </c>
      <c r="D11" s="83"/>
      <c r="E11" s="84"/>
    </row>
    <row r="12" spans="2:9" x14ac:dyDescent="0.35">
      <c r="B12" s="82" t="s">
        <v>117</v>
      </c>
      <c r="C12" s="83"/>
      <c r="D12" s="83">
        <v>200000</v>
      </c>
      <c r="E12" s="84"/>
    </row>
    <row r="13" spans="2:9" x14ac:dyDescent="0.35">
      <c r="B13" s="82" t="s">
        <v>149</v>
      </c>
      <c r="C13" s="83">
        <v>180000</v>
      </c>
      <c r="D13" s="83"/>
      <c r="E13" s="84"/>
    </row>
    <row r="14" spans="2:9" x14ac:dyDescent="0.35">
      <c r="B14" s="82" t="s">
        <v>129</v>
      </c>
      <c r="C14" s="83"/>
      <c r="D14" s="83">
        <v>56000</v>
      </c>
      <c r="E14" s="84"/>
    </row>
    <row r="15" spans="2:9" x14ac:dyDescent="0.35">
      <c r="B15" s="82" t="s">
        <v>8</v>
      </c>
      <c r="C15" s="83"/>
      <c r="D15" s="83">
        <v>34250</v>
      </c>
      <c r="E15" s="84"/>
    </row>
    <row r="16" spans="2:9" x14ac:dyDescent="0.35">
      <c r="B16" s="82" t="s">
        <v>226</v>
      </c>
      <c r="C16" s="83"/>
      <c r="D16" s="83">
        <v>210000</v>
      </c>
      <c r="E16" s="84"/>
    </row>
    <row r="17" spans="2:6" x14ac:dyDescent="0.35">
      <c r="B17" s="82" t="s">
        <v>119</v>
      </c>
      <c r="C17" s="83"/>
      <c r="D17" s="83">
        <v>160000</v>
      </c>
      <c r="E17" s="84"/>
    </row>
    <row r="18" spans="2:6" x14ac:dyDescent="0.35">
      <c r="B18" s="82" t="s">
        <v>13</v>
      </c>
      <c r="C18" s="83"/>
      <c r="D18" s="83">
        <v>422000</v>
      </c>
      <c r="E18" s="84"/>
    </row>
    <row r="19" spans="2:6" x14ac:dyDescent="0.35">
      <c r="B19" s="82" t="s">
        <v>14</v>
      </c>
      <c r="C19" s="83"/>
      <c r="D19" s="83">
        <v>3100000</v>
      </c>
      <c r="E19" s="84"/>
    </row>
    <row r="20" spans="2:6" x14ac:dyDescent="0.35">
      <c r="B20" s="82" t="s">
        <v>120</v>
      </c>
      <c r="C20" s="83">
        <v>376500</v>
      </c>
      <c r="D20" s="83"/>
      <c r="E20" s="84"/>
    </row>
    <row r="21" spans="2:6" x14ac:dyDescent="0.35">
      <c r="B21" s="82" t="s">
        <v>15</v>
      </c>
      <c r="C21" s="83">
        <v>25400</v>
      </c>
      <c r="D21" s="83"/>
    </row>
    <row r="22" spans="2:6" x14ac:dyDescent="0.35">
      <c r="B22" s="82" t="s">
        <v>121</v>
      </c>
      <c r="C22" s="83">
        <v>13750</v>
      </c>
      <c r="D22" s="83"/>
    </row>
    <row r="23" spans="2:6" x14ac:dyDescent="0.35">
      <c r="B23" s="82" t="s">
        <v>16</v>
      </c>
      <c r="C23" s="83">
        <v>2345000</v>
      </c>
      <c r="D23" s="83"/>
    </row>
    <row r="24" spans="2:6" x14ac:dyDescent="0.35">
      <c r="B24" s="82" t="s">
        <v>228</v>
      </c>
      <c r="C24" s="83">
        <v>54300</v>
      </c>
      <c r="D24" s="83"/>
    </row>
    <row r="25" spans="2:6" x14ac:dyDescent="0.35">
      <c r="B25" s="82" t="s">
        <v>122</v>
      </c>
      <c r="C25" s="83">
        <v>88000</v>
      </c>
      <c r="D25" s="83"/>
    </row>
    <row r="26" spans="2:6" x14ac:dyDescent="0.35">
      <c r="B26" s="82" t="s">
        <v>21</v>
      </c>
      <c r="C26" s="83">
        <v>115000</v>
      </c>
      <c r="D26" s="83"/>
    </row>
    <row r="27" spans="2:6" x14ac:dyDescent="0.35">
      <c r="B27" s="82" t="s">
        <v>124</v>
      </c>
      <c r="C27" s="83">
        <v>27600</v>
      </c>
      <c r="D27" s="83"/>
    </row>
    <row r="28" spans="2:6" x14ac:dyDescent="0.35">
      <c r="B28" s="82" t="s">
        <v>229</v>
      </c>
      <c r="C28" s="83">
        <v>33300</v>
      </c>
      <c r="D28" s="83"/>
    </row>
    <row r="29" spans="2:6" x14ac:dyDescent="0.35">
      <c r="B29" s="82" t="s">
        <v>126</v>
      </c>
      <c r="C29" s="83"/>
      <c r="D29" s="83">
        <v>14400</v>
      </c>
    </row>
    <row r="30" spans="2:6" x14ac:dyDescent="0.35">
      <c r="B30" s="82" t="s">
        <v>227</v>
      </c>
      <c r="C30" s="82"/>
      <c r="D30" s="82">
        <v>15000</v>
      </c>
    </row>
    <row r="31" spans="2:6" x14ac:dyDescent="0.35">
      <c r="B31" s="85" t="s">
        <v>31</v>
      </c>
      <c r="C31" s="83">
        <f>SUM(C4:C30)</f>
        <v>4247650</v>
      </c>
      <c r="D31" s="83">
        <f>SUM(D4:D30)</f>
        <v>4247650</v>
      </c>
      <c r="F31" s="88">
        <f>D31-C31</f>
        <v>0</v>
      </c>
    </row>
    <row r="33" spans="2:2" x14ac:dyDescent="0.35">
      <c r="B33" s="87" t="s">
        <v>104</v>
      </c>
    </row>
    <row r="34" spans="2:2" x14ac:dyDescent="0.35">
      <c r="B34" s="81" t="s">
        <v>230</v>
      </c>
    </row>
    <row r="35" spans="2:2" x14ac:dyDescent="0.35">
      <c r="B35" s="81" t="s">
        <v>231</v>
      </c>
    </row>
    <row r="36" spans="2:2" x14ac:dyDescent="0.35">
      <c r="B36" s="81" t="s">
        <v>232</v>
      </c>
    </row>
    <row r="37" spans="2:2" x14ac:dyDescent="0.35">
      <c r="B37" s="81" t="s">
        <v>233</v>
      </c>
    </row>
    <row r="38" spans="2:2" x14ac:dyDescent="0.35">
      <c r="B38" s="81" t="s">
        <v>234</v>
      </c>
    </row>
    <row r="39" spans="2:2" x14ac:dyDescent="0.35">
      <c r="B39" s="81" t="s">
        <v>235</v>
      </c>
    </row>
  </sheetData>
  <mergeCells count="1">
    <mergeCell ref="B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Format of Financial Statements</vt:lpstr>
      <vt:lpstr>Sample Question 1</vt:lpstr>
      <vt:lpstr>Solution to the question 1</vt:lpstr>
      <vt:lpstr>Sample Question 2</vt:lpstr>
      <vt:lpstr>Solution to the question 2</vt:lpstr>
      <vt:lpstr>Sample Question 3 </vt:lpstr>
      <vt:lpstr>Solution to the question 3</vt:lpstr>
      <vt:lpstr>Sample Question 4</vt:lpstr>
      <vt:lpstr>Solution 4</vt:lpstr>
      <vt:lpstr>Sample Question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2024-05-08T15:36:20Z</dcterms:modified>
</cp:coreProperties>
</file>