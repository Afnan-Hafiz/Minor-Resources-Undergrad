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24EA5D05-EB4B-49DE-B7B5-0554B8FA4A5B}" xr6:coauthVersionLast="36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estion " sheetId="1" r:id="rId1"/>
    <sheet name="Solution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5" i="2" l="1"/>
  <c r="E64" i="2"/>
  <c r="E61" i="2"/>
  <c r="D61" i="2"/>
  <c r="F7" i="2"/>
  <c r="E5" i="2"/>
  <c r="E54" i="2" l="1"/>
  <c r="H40" i="2" l="1"/>
  <c r="H38" i="2"/>
  <c r="F42" i="2"/>
  <c r="E91" i="2" s="1"/>
  <c r="E42" i="2"/>
  <c r="E90" i="2" s="1"/>
  <c r="F85" i="2"/>
  <c r="E17" i="2"/>
  <c r="F21" i="2" s="1"/>
  <c r="E24" i="2"/>
  <c r="F26" i="2" s="1"/>
  <c r="E66" i="2"/>
  <c r="E4" i="2"/>
  <c r="F6" i="2" s="1"/>
  <c r="F8" i="2" s="1"/>
  <c r="F56" i="2"/>
  <c r="E92" i="2" l="1"/>
  <c r="F22" i="2"/>
  <c r="F27" i="2" s="1"/>
  <c r="F29" i="2" s="1"/>
  <c r="F67" i="2"/>
  <c r="F69" i="2" s="1"/>
  <c r="E31" i="1"/>
  <c r="D31" i="1"/>
  <c r="I19" i="1" s="1"/>
  <c r="F30" i="2" l="1"/>
  <c r="E76" i="2" s="1"/>
  <c r="F31" i="2"/>
  <c r="H31" i="1"/>
  <c r="G39" i="2" l="1"/>
  <c r="G42" i="2" s="1"/>
  <c r="F78" i="2"/>
  <c r="H39" i="2" l="1"/>
  <c r="H42" i="2" s="1"/>
  <c r="E93" i="2"/>
  <c r="F94" i="2" s="1"/>
  <c r="F87" i="2"/>
  <c r="F96" i="2" l="1"/>
</calcChain>
</file>

<file path=xl/sharedStrings.xml><?xml version="1.0" encoding="utf-8"?>
<sst xmlns="http://schemas.openxmlformats.org/spreadsheetml/2006/main" count="117" uniqueCount="95">
  <si>
    <t xml:space="preserve">Debit </t>
  </si>
  <si>
    <t xml:space="preserve">Credit </t>
  </si>
  <si>
    <t xml:space="preserve">Cash </t>
  </si>
  <si>
    <t xml:space="preserve">Accounts Receivable </t>
  </si>
  <si>
    <t xml:space="preserve">Merchandise Inventory </t>
  </si>
  <si>
    <t xml:space="preserve">Supplies </t>
  </si>
  <si>
    <t xml:space="preserve">Equipment </t>
  </si>
  <si>
    <t>Accumulated Depreciation-Equipment</t>
  </si>
  <si>
    <t xml:space="preserve">Accounts Payable </t>
  </si>
  <si>
    <t xml:space="preserve">Machinery </t>
  </si>
  <si>
    <t>Accumulated Depreciation-Machinery</t>
  </si>
  <si>
    <t xml:space="preserve">Common Stock </t>
  </si>
  <si>
    <t xml:space="preserve">Additional Paid in Capital </t>
  </si>
  <si>
    <t xml:space="preserve">Retained Earnings </t>
  </si>
  <si>
    <t xml:space="preserve">Sales </t>
  </si>
  <si>
    <t xml:space="preserve">Sales Returns and Allowances </t>
  </si>
  <si>
    <t xml:space="preserve">Cost of Goods Sold </t>
  </si>
  <si>
    <t xml:space="preserve">Salaries Expense </t>
  </si>
  <si>
    <t xml:space="preserve">Adveritising Expense </t>
  </si>
  <si>
    <t xml:space="preserve">Utilities Expense </t>
  </si>
  <si>
    <t xml:space="preserve">Repair Expense </t>
  </si>
  <si>
    <t xml:space="preserve">Rent Expense </t>
  </si>
  <si>
    <t xml:space="preserve">8% Debenture </t>
  </si>
  <si>
    <t xml:space="preserve">Freight Out Expense </t>
  </si>
  <si>
    <t>The interest on the debentures has not yet been paid.</t>
  </si>
  <si>
    <t xml:space="preserve">Auditors Fee </t>
  </si>
  <si>
    <t>Common Stock (50,000 shares of $2 each)</t>
  </si>
  <si>
    <t xml:space="preserve">Supplies on hand totaled $2000. </t>
  </si>
  <si>
    <t xml:space="preserve">The Trial Balance BBS Limited contained the following accounts at December 31, 2018, the end of company's fiscal year. </t>
  </si>
  <si>
    <t xml:space="preserve">Total </t>
  </si>
  <si>
    <t xml:space="preserve">Income Statement </t>
  </si>
  <si>
    <t xml:space="preserve">Balance Sheet </t>
  </si>
  <si>
    <t>Assets</t>
  </si>
  <si>
    <t xml:space="preserve">Current Assets </t>
  </si>
  <si>
    <t>Total Current Asset</t>
  </si>
  <si>
    <t>Non-Current Assets</t>
  </si>
  <si>
    <t>Total Assets</t>
  </si>
  <si>
    <t>Current Liabilities</t>
  </si>
  <si>
    <t>Long Term Liabilities</t>
  </si>
  <si>
    <t>Total Liablities</t>
  </si>
  <si>
    <t>For the year ended December 31,2018</t>
  </si>
  <si>
    <t>December 31,2018</t>
  </si>
  <si>
    <t xml:space="preserve">BBS Company Limited </t>
  </si>
  <si>
    <t xml:space="preserve">Wages Expense </t>
  </si>
  <si>
    <t>Machinery</t>
  </si>
  <si>
    <t>Gain on sale of the propertry</t>
  </si>
  <si>
    <t>Retained Earnings</t>
  </si>
  <si>
    <t>Balance, January 1,2018</t>
  </si>
  <si>
    <t xml:space="preserve">Less: Sales Returns and Allowances </t>
  </si>
  <si>
    <t xml:space="preserve">Net Sales </t>
  </si>
  <si>
    <t xml:space="preserve">Gross Profit </t>
  </si>
  <si>
    <t xml:space="preserve">Land </t>
  </si>
  <si>
    <t xml:space="preserve">Less: Operating Expense </t>
  </si>
  <si>
    <t xml:space="preserve">Total Operating Expenses </t>
  </si>
  <si>
    <t>Income from Operation/Operating Income</t>
  </si>
  <si>
    <t xml:space="preserve">Add: Other Income </t>
  </si>
  <si>
    <t>Gain on sale of propertry</t>
  </si>
  <si>
    <t xml:space="preserve">Less: Other Expenses </t>
  </si>
  <si>
    <t>Earnings before interest and taxes (EBIT)</t>
  </si>
  <si>
    <t xml:space="preserve">Earnings before taxes </t>
  </si>
  <si>
    <t xml:space="preserve">Net Income </t>
  </si>
  <si>
    <t xml:space="preserve">Total Non-Current Assets </t>
  </si>
  <si>
    <t xml:space="preserve">Total Long Term Liabilities </t>
  </si>
  <si>
    <t>Add: Net Income of the year 2018</t>
  </si>
  <si>
    <t>Balance, December 31,2018</t>
  </si>
  <si>
    <t xml:space="preserve">Total Current Liabilities </t>
  </si>
  <si>
    <t>Accounts Receivable</t>
  </si>
  <si>
    <t xml:space="preserve">Additional Data: </t>
  </si>
  <si>
    <t>Paid in capital</t>
  </si>
  <si>
    <t>Additional Paid in Capital-Common Stock</t>
  </si>
  <si>
    <t xml:space="preserve">The company is under 42.5% tax bracket. </t>
  </si>
  <si>
    <t>The company has declared 10% cash dividend on the 50,000 ordinary shares.</t>
  </si>
  <si>
    <r>
      <t xml:space="preserve">Less: Interest Expense (100,000*8%) </t>
    </r>
    <r>
      <rPr>
        <b/>
        <u/>
        <sz val="11"/>
        <color rgb="FF0070C0"/>
        <rFont val="Calibri"/>
        <family val="2"/>
        <scheme val="minor"/>
      </rPr>
      <t>(A 2)</t>
    </r>
  </si>
  <si>
    <r>
      <t>Interest Payable -Debenture</t>
    </r>
    <r>
      <rPr>
        <b/>
        <u/>
        <sz val="11"/>
        <color rgb="FF0070C0"/>
        <rFont val="Calibri"/>
        <family val="2"/>
        <scheme val="minor"/>
      </rPr>
      <t xml:space="preserve"> (A 2)</t>
    </r>
  </si>
  <si>
    <r>
      <t xml:space="preserve">Taxes Payable </t>
    </r>
    <r>
      <rPr>
        <b/>
        <u/>
        <sz val="11"/>
        <color rgb="FF0070C0"/>
        <rFont val="Calibri"/>
        <family val="2"/>
        <scheme val="minor"/>
      </rPr>
      <t>(A 1)</t>
    </r>
  </si>
  <si>
    <r>
      <t xml:space="preserve">Dividend Payable </t>
    </r>
    <r>
      <rPr>
        <b/>
        <u/>
        <sz val="11"/>
        <color rgb="FF0070C0"/>
        <rFont val="Calibri"/>
        <family val="2"/>
        <scheme val="minor"/>
      </rPr>
      <t>(A 3)</t>
    </r>
  </si>
  <si>
    <t xml:space="preserve">Depreciation is to be charged on a reducing-balance basis: machinery at 20%, equipment at 10%. </t>
  </si>
  <si>
    <t xml:space="preserve">Account Titles </t>
  </si>
  <si>
    <t xml:space="preserve">SL. </t>
  </si>
  <si>
    <r>
      <t xml:space="preserve">Depreciation Expense-Machinery (85,000-22,000)*20% </t>
    </r>
    <r>
      <rPr>
        <b/>
        <u/>
        <sz val="11"/>
        <color rgb="FF0070C0"/>
        <rFont val="Calibri"/>
        <family val="2"/>
        <scheme val="minor"/>
      </rPr>
      <t>(A 4)</t>
    </r>
  </si>
  <si>
    <r>
      <t xml:space="preserve">Depreciation Expense-Equipment (48,000-6,000)*10% </t>
    </r>
    <r>
      <rPr>
        <b/>
        <u/>
        <sz val="11"/>
        <color rgb="FF0070C0"/>
        <rFont val="Calibri"/>
        <family val="2"/>
        <scheme val="minor"/>
      </rPr>
      <t>(A 4)</t>
    </r>
  </si>
  <si>
    <r>
      <t xml:space="preserve">Supplies Expense (6200-2000) </t>
    </r>
    <r>
      <rPr>
        <b/>
        <u/>
        <sz val="11"/>
        <color rgb="FF0070C0"/>
        <rFont val="Calibri"/>
        <family val="2"/>
        <scheme val="minor"/>
      </rPr>
      <t>(A 5)</t>
    </r>
  </si>
  <si>
    <r>
      <t xml:space="preserve">Accumulated Depreciation (22,000+12,600) </t>
    </r>
    <r>
      <rPr>
        <b/>
        <u/>
        <sz val="11"/>
        <color rgb="FF0070C0"/>
        <rFont val="Calibri"/>
        <family val="2"/>
        <scheme val="minor"/>
      </rPr>
      <t>(A 4)</t>
    </r>
  </si>
  <si>
    <r>
      <t xml:space="preserve">Less: Accumulated Depreciation (6000+4200) </t>
    </r>
    <r>
      <rPr>
        <b/>
        <u/>
        <sz val="11"/>
        <color rgb="FF0070C0"/>
        <rFont val="Calibri"/>
        <family val="2"/>
        <scheme val="minor"/>
      </rPr>
      <t>(A 4)</t>
    </r>
  </si>
  <si>
    <r>
      <t xml:space="preserve">Supplies </t>
    </r>
    <r>
      <rPr>
        <b/>
        <u/>
        <sz val="11"/>
        <color rgb="FF0070C0"/>
        <rFont val="Calibri"/>
        <family val="2"/>
        <scheme val="minor"/>
      </rPr>
      <t>(A 5)</t>
    </r>
  </si>
  <si>
    <r>
      <t xml:space="preserve">Less: Taxes (267800*42.5%)  </t>
    </r>
    <r>
      <rPr>
        <b/>
        <u/>
        <sz val="11"/>
        <color rgb="FF0070C0"/>
        <rFont val="Calibri"/>
        <family val="2"/>
        <scheme val="minor"/>
      </rPr>
      <t>(A 1)</t>
    </r>
  </si>
  <si>
    <t xml:space="preserve">Statement of Stockholder's Equity </t>
  </si>
  <si>
    <t xml:space="preserve">Less: Cost of Goods Sold </t>
  </si>
  <si>
    <t>Total paid in capital</t>
  </si>
  <si>
    <t>Stockholders' Equity</t>
  </si>
  <si>
    <t>Liablilities and Stockholders' Equity</t>
  </si>
  <si>
    <t>Total Stockholders' Equity</t>
  </si>
  <si>
    <t>Total Liablities and Stockholders' Equity</t>
  </si>
  <si>
    <r>
      <rPr>
        <b/>
        <sz val="11"/>
        <color theme="1"/>
        <rFont val="Calibri"/>
        <family val="2"/>
        <scheme val="minor"/>
      </rPr>
      <t>Required:</t>
    </r>
    <r>
      <rPr>
        <sz val="11"/>
        <color theme="1"/>
        <rFont val="Calibri"/>
        <family val="2"/>
        <scheme val="minor"/>
      </rPr>
      <t xml:space="preserve"> Prepare a multiple step income statement for the year ended December 31, 2018, a statement of stockholders’ equity for the year ended December 31, 2018 and a classified balance sheet as at December 31, 2018 for BBS Limited.</t>
    </r>
  </si>
  <si>
    <r>
      <t xml:space="preserve">Less: Cash Dividend Declared (100000*10%) </t>
    </r>
    <r>
      <rPr>
        <b/>
        <u/>
        <sz val="11"/>
        <color rgb="FF0070C0"/>
        <rFont val="Calibri"/>
        <family val="2"/>
        <scheme val="minor"/>
      </rPr>
      <t>(A 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</si>
</sst>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2" fillId="2" borderId="0" xfId="0" applyFont="1" applyFill="1"/>
    <xf numFmtId="0" fontId="0" fillId="3" borderId="24" xfId="0" applyFill="1" applyBorder="1"/>
    <xf numFmtId="0" fontId="0" fillId="3" borderId="0" xfId="0" applyFill="1"/>
    <xf numFmtId="0" fontId="2" fillId="3" borderId="18" xfId="0" applyFont="1" applyFill="1" applyBorder="1" applyAlignment="1">
      <alignment horizontal="right"/>
    </xf>
    <xf numFmtId="0" fontId="0" fillId="3" borderId="25" xfId="0" applyFill="1" applyBorder="1"/>
    <xf numFmtId="0" fontId="0" fillId="3" borderId="26" xfId="0" applyFill="1" applyBorder="1"/>
    <xf numFmtId="0" fontId="2" fillId="3" borderId="15" xfId="0" applyFont="1" applyFill="1" applyBorder="1"/>
    <xf numFmtId="0" fontId="0" fillId="3" borderId="8" xfId="0" applyFill="1" applyBorder="1"/>
    <xf numFmtId="0" fontId="0" fillId="3" borderId="13" xfId="0" applyFill="1" applyBorder="1"/>
    <xf numFmtId="0" fontId="0" fillId="3" borderId="11" xfId="0" applyFill="1" applyBorder="1"/>
    <xf numFmtId="164" fontId="0" fillId="3" borderId="8" xfId="1" applyNumberFormat="1" applyFont="1" applyFill="1" applyBorder="1"/>
    <xf numFmtId="164" fontId="0" fillId="3" borderId="24" xfId="1" applyNumberFormat="1" applyFont="1" applyFill="1" applyBorder="1"/>
    <xf numFmtId="164" fontId="2" fillId="3" borderId="10" xfId="1" applyNumberFormat="1" applyFont="1" applyFill="1" applyBorder="1"/>
    <xf numFmtId="3" fontId="0" fillId="2" borderId="0" xfId="0" applyNumberFormat="1" applyFill="1"/>
    <xf numFmtId="3" fontId="0" fillId="3" borderId="2" xfId="0" applyNumberFormat="1" applyFill="1" applyBorder="1"/>
    <xf numFmtId="3" fontId="0" fillId="3" borderId="3" xfId="0" applyNumberFormat="1" applyFill="1" applyBorder="1"/>
    <xf numFmtId="3" fontId="0" fillId="3" borderId="5" xfId="0" applyNumberFormat="1" applyFill="1" applyBorder="1"/>
    <xf numFmtId="3" fontId="0" fillId="3" borderId="4" xfId="0" applyNumberFormat="1" applyFill="1" applyBorder="1"/>
    <xf numFmtId="3" fontId="0" fillId="3" borderId="6" xfId="0" applyNumberFormat="1" applyFill="1" applyBorder="1"/>
    <xf numFmtId="3" fontId="0" fillId="3" borderId="0" xfId="0" applyNumberFormat="1" applyFill="1"/>
    <xf numFmtId="3" fontId="0" fillId="3" borderId="8" xfId="0" applyNumberFormat="1" applyFill="1" applyBorder="1"/>
    <xf numFmtId="3" fontId="0" fillId="3" borderId="7" xfId="0" applyNumberFormat="1" applyFill="1" applyBorder="1"/>
    <xf numFmtId="3" fontId="2" fillId="3" borderId="0" xfId="0" applyNumberFormat="1" applyFont="1" applyFill="1"/>
    <xf numFmtId="3" fontId="0" fillId="3" borderId="9" xfId="0" applyNumberFormat="1" applyFill="1" applyBorder="1"/>
    <xf numFmtId="3" fontId="0" fillId="3" borderId="16" xfId="0" quotePrefix="1" applyNumberFormat="1" applyFill="1" applyBorder="1" applyAlignment="1">
      <alignment horizontal="right"/>
    </xf>
    <xf numFmtId="3" fontId="4" fillId="3" borderId="6" xfId="0" applyNumberFormat="1" applyFont="1" applyFill="1" applyBorder="1"/>
    <xf numFmtId="0" fontId="0" fillId="3" borderId="7" xfId="0" applyFill="1" applyBorder="1"/>
    <xf numFmtId="3" fontId="2" fillId="3" borderId="6" xfId="0" applyNumberFormat="1" applyFont="1" applyFill="1" applyBorder="1"/>
    <xf numFmtId="3" fontId="0" fillId="3" borderId="16" xfId="0" applyNumberFormat="1" applyFill="1" applyBorder="1"/>
    <xf numFmtId="0" fontId="0" fillId="3" borderId="22" xfId="0" applyFill="1" applyBorder="1"/>
    <xf numFmtId="0" fontId="0" fillId="3" borderId="6" xfId="0" applyFill="1" applyBorder="1"/>
    <xf numFmtId="3" fontId="0" fillId="3" borderId="23" xfId="0" applyNumberFormat="1" applyFill="1" applyBorder="1"/>
    <xf numFmtId="3" fontId="0" fillId="3" borderId="23" xfId="0" quotePrefix="1" applyNumberFormat="1" applyFill="1" applyBorder="1" applyAlignment="1">
      <alignment horizontal="right"/>
    </xf>
    <xf numFmtId="3" fontId="2" fillId="3" borderId="17" xfId="0" applyNumberFormat="1" applyFont="1" applyFill="1" applyBorder="1"/>
    <xf numFmtId="3" fontId="0" fillId="3" borderId="11" xfId="0" applyNumberFormat="1" applyFill="1" applyBorder="1"/>
    <xf numFmtId="3" fontId="0" fillId="3" borderId="1" xfId="0" applyNumberFormat="1" applyFill="1" applyBorder="1"/>
    <xf numFmtId="3" fontId="0" fillId="3" borderId="13" xfId="0" applyNumberFormat="1" applyFill="1" applyBorder="1"/>
    <xf numFmtId="3" fontId="0" fillId="3" borderId="12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3" fontId="0" fillId="3" borderId="20" xfId="0" applyNumberFormat="1" applyFill="1" applyBorder="1"/>
    <xf numFmtId="3" fontId="2" fillId="3" borderId="9" xfId="0" applyNumberFormat="1" applyFont="1" applyFill="1" applyBorder="1"/>
    <xf numFmtId="3" fontId="2" fillId="3" borderId="11" xfId="0" applyNumberFormat="1" applyFont="1" applyFill="1" applyBorder="1"/>
    <xf numFmtId="3" fontId="4" fillId="3" borderId="2" xfId="0" applyNumberFormat="1" applyFont="1" applyFill="1" applyBorder="1"/>
    <xf numFmtId="0" fontId="0" fillId="3" borderId="9" xfId="0" applyFill="1" applyBorder="1"/>
    <xf numFmtId="3" fontId="0" fillId="3" borderId="21" xfId="0" applyNumberFormat="1" applyFill="1" applyBorder="1"/>
    <xf numFmtId="3" fontId="2" fillId="3" borderId="10" xfId="0" applyNumberFormat="1" applyFont="1" applyFill="1" applyBorder="1"/>
    <xf numFmtId="3" fontId="2" fillId="3" borderId="1" xfId="0" applyNumberFormat="1" applyFont="1" applyFill="1" applyBorder="1"/>
    <xf numFmtId="3" fontId="2" fillId="3" borderId="13" xfId="0" applyNumberFormat="1" applyFont="1" applyFill="1" applyBorder="1"/>
    <xf numFmtId="3" fontId="0" fillId="3" borderId="14" xfId="0" applyNumberFormat="1" applyFill="1" applyBorder="1"/>
    <xf numFmtId="3" fontId="2" fillId="3" borderId="15" xfId="0" applyNumberFormat="1" applyFont="1" applyFill="1" applyBorder="1" applyAlignment="1">
      <alignment horizontal="center"/>
    </xf>
    <xf numFmtId="3" fontId="2" fillId="3" borderId="15" xfId="0" applyNumberFormat="1" applyFont="1" applyFill="1" applyBorder="1" applyAlignment="1">
      <alignment horizontal="center" wrapText="1"/>
    </xf>
    <xf numFmtId="0" fontId="2" fillId="3" borderId="15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1" xfId="0" applyFill="1" applyBorder="1"/>
    <xf numFmtId="0" fontId="0" fillId="3" borderId="12" xfId="0" applyFill="1" applyBorder="1"/>
    <xf numFmtId="0" fontId="2" fillId="3" borderId="24" xfId="0" applyFont="1" applyFill="1" applyBorder="1" applyAlignment="1">
      <alignment horizontal="right"/>
    </xf>
    <xf numFmtId="3" fontId="0" fillId="3" borderId="10" xfId="0" applyNumberFormat="1" applyFill="1" applyBorder="1"/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3" fontId="3" fillId="3" borderId="6" xfId="0" applyNumberFormat="1" applyFont="1" applyFill="1" applyBorder="1" applyAlignment="1">
      <alignment horizontal="center"/>
    </xf>
    <xf numFmtId="3" fontId="3" fillId="3" borderId="0" xfId="0" applyNumberFormat="1" applyFont="1" applyFill="1" applyAlignment="1">
      <alignment horizontal="center"/>
    </xf>
    <xf numFmtId="3" fontId="3" fillId="3" borderId="7" xfId="0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3"/>
  <sheetViews>
    <sheetView tabSelected="1" zoomScale="101" zoomScaleNormal="130" workbookViewId="0">
      <selection activeCell="G13" sqref="G13"/>
    </sheetView>
  </sheetViews>
  <sheetFormatPr defaultRowHeight="14.5" x14ac:dyDescent="0.35"/>
  <cols>
    <col min="1" max="1" width="2.54296875" customWidth="1"/>
    <col min="3" max="3" width="35.6328125" customWidth="1"/>
    <col min="4" max="4" width="10.6328125" customWidth="1"/>
    <col min="5" max="5" width="11.54296875" customWidth="1"/>
    <col min="6" max="6" width="3.1796875" customWidth="1"/>
    <col min="7" max="7" width="3.36328125" customWidth="1"/>
    <col min="20" max="20" width="89.453125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5">
      <c r="A2" s="1"/>
      <c r="B2" s="3" t="s">
        <v>28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thickBo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thickBot="1" x14ac:dyDescent="0.4">
      <c r="A4" s="1"/>
      <c r="B4" s="6" t="s">
        <v>78</v>
      </c>
      <c r="C4" s="9" t="s">
        <v>77</v>
      </c>
      <c r="D4" s="9" t="s">
        <v>0</v>
      </c>
      <c r="E4" s="9" t="s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thickBot="1" x14ac:dyDescent="0.4">
      <c r="A5" s="1"/>
      <c r="B5" s="7">
        <v>1</v>
      </c>
      <c r="C5" s="10" t="s">
        <v>2</v>
      </c>
      <c r="D5" s="13">
        <v>28700</v>
      </c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8">
        <v>2</v>
      </c>
      <c r="C6" s="4" t="s">
        <v>3</v>
      </c>
      <c r="D6" s="14">
        <v>30700</v>
      </c>
      <c r="E6" s="14"/>
      <c r="F6" s="1"/>
      <c r="G6" s="56" t="s">
        <v>67</v>
      </c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9"/>
    </row>
    <row r="7" spans="1:20" x14ac:dyDescent="0.35">
      <c r="A7" s="1"/>
      <c r="B7" s="8">
        <v>3</v>
      </c>
      <c r="C7" s="4" t="s">
        <v>51</v>
      </c>
      <c r="D7" s="14">
        <v>600000</v>
      </c>
      <c r="E7" s="14"/>
      <c r="F7" s="1"/>
      <c r="G7" s="33">
        <v>1</v>
      </c>
      <c r="H7" s="5" t="s">
        <v>70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29"/>
    </row>
    <row r="8" spans="1:20" x14ac:dyDescent="0.35">
      <c r="A8" s="1"/>
      <c r="B8" s="8">
        <v>4</v>
      </c>
      <c r="C8" s="4" t="s">
        <v>4</v>
      </c>
      <c r="D8" s="14">
        <v>44700</v>
      </c>
      <c r="E8" s="14"/>
      <c r="F8" s="1"/>
      <c r="G8" s="33">
        <v>2</v>
      </c>
      <c r="H8" s="5" t="s">
        <v>24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29"/>
    </row>
    <row r="9" spans="1:20" x14ac:dyDescent="0.35">
      <c r="A9" s="1"/>
      <c r="B9" s="8">
        <v>5</v>
      </c>
      <c r="C9" s="4" t="s">
        <v>5</v>
      </c>
      <c r="D9" s="14">
        <v>6200</v>
      </c>
      <c r="E9" s="14"/>
      <c r="F9" s="1"/>
      <c r="G9" s="33">
        <v>3</v>
      </c>
      <c r="H9" s="5" t="s">
        <v>71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29"/>
    </row>
    <row r="10" spans="1:20" x14ac:dyDescent="0.35">
      <c r="A10" s="1"/>
      <c r="B10" s="8">
        <v>6</v>
      </c>
      <c r="C10" s="4" t="s">
        <v>9</v>
      </c>
      <c r="D10" s="14">
        <v>85000</v>
      </c>
      <c r="E10" s="14"/>
      <c r="F10" s="1"/>
      <c r="G10" s="33">
        <v>4</v>
      </c>
      <c r="H10" s="5" t="s">
        <v>76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29"/>
    </row>
    <row r="11" spans="1:20" x14ac:dyDescent="0.35">
      <c r="A11" s="1"/>
      <c r="B11" s="8">
        <v>7</v>
      </c>
      <c r="C11" s="4" t="s">
        <v>10</v>
      </c>
      <c r="D11" s="14"/>
      <c r="E11" s="14">
        <v>22000</v>
      </c>
      <c r="F11" s="1"/>
      <c r="G11" s="33">
        <v>5</v>
      </c>
      <c r="H11" s="5" t="s">
        <v>27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29"/>
    </row>
    <row r="12" spans="1:20" x14ac:dyDescent="0.35">
      <c r="A12" s="1"/>
      <c r="B12" s="8">
        <v>8</v>
      </c>
      <c r="C12" s="4" t="s">
        <v>6</v>
      </c>
      <c r="D12" s="14">
        <v>48000</v>
      </c>
      <c r="E12" s="14"/>
      <c r="F12" s="1"/>
      <c r="G12" s="3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29"/>
    </row>
    <row r="13" spans="1:20" ht="15" thickBot="1" x14ac:dyDescent="0.4">
      <c r="A13" s="1"/>
      <c r="B13" s="8">
        <v>9</v>
      </c>
      <c r="C13" s="4" t="s">
        <v>7</v>
      </c>
      <c r="D13" s="14"/>
      <c r="E13" s="14">
        <v>6000</v>
      </c>
      <c r="F13" s="1"/>
      <c r="G13" s="12" t="s">
        <v>93</v>
      </c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1"/>
    </row>
    <row r="14" spans="1:20" x14ac:dyDescent="0.35">
      <c r="A14" s="1"/>
      <c r="B14" s="8">
        <v>10</v>
      </c>
      <c r="C14" s="4" t="s">
        <v>45</v>
      </c>
      <c r="D14" s="14"/>
      <c r="E14" s="14">
        <v>51000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5">
      <c r="A15" s="1"/>
      <c r="B15" s="8">
        <v>11</v>
      </c>
      <c r="C15" s="4" t="s">
        <v>22</v>
      </c>
      <c r="D15" s="14"/>
      <c r="E15" s="14">
        <v>100000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5">
      <c r="A16" s="1"/>
      <c r="B16" s="8">
        <v>12</v>
      </c>
      <c r="C16" s="4" t="s">
        <v>8</v>
      </c>
      <c r="D16" s="14"/>
      <c r="E16" s="14">
        <v>48500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5">
      <c r="A17" s="1"/>
      <c r="B17" s="8">
        <v>13</v>
      </c>
      <c r="C17" s="4" t="s">
        <v>26</v>
      </c>
      <c r="D17" s="14"/>
      <c r="E17" s="14">
        <v>100000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5">
      <c r="A18" s="1"/>
      <c r="B18" s="8">
        <v>14</v>
      </c>
      <c r="C18" s="4" t="s">
        <v>12</v>
      </c>
      <c r="D18" s="14"/>
      <c r="E18" s="14">
        <v>220000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5">
      <c r="A19" s="1"/>
      <c r="B19" s="8">
        <v>15</v>
      </c>
      <c r="C19" s="4" t="s">
        <v>13</v>
      </c>
      <c r="D19" s="14"/>
      <c r="E19" s="14">
        <v>50000</v>
      </c>
      <c r="F19" s="1"/>
      <c r="G19" s="1"/>
      <c r="H19" s="1"/>
      <c r="I19" s="2">
        <f>E31-D31</f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5">
      <c r="A20" s="1"/>
      <c r="B20" s="8">
        <v>16</v>
      </c>
      <c r="C20" s="4" t="s">
        <v>14</v>
      </c>
      <c r="D20" s="14"/>
      <c r="E20" s="14">
        <v>1755200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5">
      <c r="A21" s="1"/>
      <c r="B21" s="8">
        <v>17</v>
      </c>
      <c r="C21" s="4" t="s">
        <v>15</v>
      </c>
      <c r="D21" s="14">
        <v>8800</v>
      </c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5">
      <c r="A22" s="1"/>
      <c r="B22" s="8">
        <v>18</v>
      </c>
      <c r="C22" s="4" t="s">
        <v>16</v>
      </c>
      <c r="D22" s="14">
        <v>897400</v>
      </c>
      <c r="E22" s="1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5">
      <c r="A23" s="1"/>
      <c r="B23" s="8">
        <v>19</v>
      </c>
      <c r="C23" s="4" t="s">
        <v>17</v>
      </c>
      <c r="D23" s="14">
        <v>24400</v>
      </c>
      <c r="E23" s="1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5">
      <c r="A24" s="1"/>
      <c r="B24" s="8">
        <v>20</v>
      </c>
      <c r="C24" s="4" t="s">
        <v>18</v>
      </c>
      <c r="D24" s="14">
        <v>14000</v>
      </c>
      <c r="E24" s="1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5">
      <c r="A25" s="1"/>
      <c r="B25" s="8">
        <v>21</v>
      </c>
      <c r="C25" s="4" t="s">
        <v>19</v>
      </c>
      <c r="D25" s="14">
        <v>12100</v>
      </c>
      <c r="E25" s="1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5">
      <c r="A26" s="1"/>
      <c r="B26" s="8">
        <v>22</v>
      </c>
      <c r="C26" s="4" t="s">
        <v>20</v>
      </c>
      <c r="D26" s="14">
        <v>24000</v>
      </c>
      <c r="E26" s="1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5">
      <c r="A27" s="1"/>
      <c r="B27" s="8">
        <v>23</v>
      </c>
      <c r="C27" s="4" t="s">
        <v>43</v>
      </c>
      <c r="D27" s="14">
        <v>16700</v>
      </c>
      <c r="E27" s="1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5">
      <c r="A28" s="1"/>
      <c r="B28" s="8">
        <v>24</v>
      </c>
      <c r="C28" s="4" t="s">
        <v>23</v>
      </c>
      <c r="D28" s="14">
        <v>2400</v>
      </c>
      <c r="E28" s="1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5">
      <c r="A29" s="1"/>
      <c r="B29" s="8">
        <v>25</v>
      </c>
      <c r="C29" s="4" t="s">
        <v>21</v>
      </c>
      <c r="D29" s="14">
        <v>207200</v>
      </c>
      <c r="E29" s="1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5">
      <c r="A30" s="1"/>
      <c r="B30" s="8">
        <v>26</v>
      </c>
      <c r="C30" s="4" t="s">
        <v>25</v>
      </c>
      <c r="D30" s="14">
        <v>302400</v>
      </c>
      <c r="E30" s="1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" thickBot="1" x14ac:dyDescent="0.4">
      <c r="A31" s="1"/>
      <c r="B31" s="8"/>
      <c r="C31" s="62" t="s">
        <v>29</v>
      </c>
      <c r="D31" s="15">
        <f>SUM(D5:D30)</f>
        <v>2352700</v>
      </c>
      <c r="E31" s="15">
        <f>SUM(E5:E30)</f>
        <v>2352700</v>
      </c>
      <c r="F31" s="1"/>
      <c r="G31" s="1"/>
      <c r="H31" s="2">
        <f>E31-D31</f>
        <v>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5" thickTop="1" thickBot="1" x14ac:dyDescent="0.4">
      <c r="A32" s="1"/>
      <c r="B32" s="12"/>
      <c r="C32" s="11"/>
      <c r="D32" s="11"/>
      <c r="E32" s="1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30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"/>
  <sheetViews>
    <sheetView topLeftCell="A82" zoomScale="103" zoomScaleNormal="145" workbookViewId="0">
      <selection activeCell="B40" sqref="B40"/>
    </sheetView>
  </sheetViews>
  <sheetFormatPr defaultRowHeight="14.5" x14ac:dyDescent="0.35"/>
  <cols>
    <col min="3" max="3" width="34" customWidth="1"/>
    <col min="4" max="4" width="14.81640625" customWidth="1"/>
    <col min="5" max="5" width="14.6328125" customWidth="1"/>
    <col min="6" max="6" width="23.54296875" customWidth="1"/>
    <col min="7" max="7" width="18.36328125" customWidth="1"/>
    <col min="8" max="8" width="14.54296875" customWidth="1"/>
  </cols>
  <sheetData>
    <row r="1" spans="1:16" x14ac:dyDescent="0.35">
      <c r="A1" s="1"/>
      <c r="B1" s="64" t="s">
        <v>42</v>
      </c>
      <c r="C1" s="64"/>
      <c r="D1" s="64"/>
      <c r="E1" s="64"/>
      <c r="F1" s="6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64" t="s">
        <v>30</v>
      </c>
      <c r="C2" s="64"/>
      <c r="D2" s="64"/>
      <c r="E2" s="64"/>
      <c r="F2" s="64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thickBot="1" x14ac:dyDescent="0.4">
      <c r="A3" s="1"/>
      <c r="B3" s="65" t="s">
        <v>40</v>
      </c>
      <c r="C3" s="65"/>
      <c r="D3" s="65"/>
      <c r="E3" s="64"/>
      <c r="F3" s="64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/>
      <c r="B4" s="17" t="s">
        <v>14</v>
      </c>
      <c r="C4" s="18"/>
      <c r="D4" s="18"/>
      <c r="E4" s="19">
        <f>'Question '!E20</f>
        <v>1755200</v>
      </c>
      <c r="F4" s="20"/>
      <c r="G4" s="16"/>
      <c r="H4" s="1"/>
      <c r="I4" s="1"/>
      <c r="J4" s="1"/>
      <c r="K4" s="1"/>
      <c r="L4" s="1"/>
      <c r="M4" s="1"/>
      <c r="N4" s="1"/>
      <c r="O4" s="1"/>
      <c r="P4" s="1"/>
    </row>
    <row r="5" spans="1:16" x14ac:dyDescent="0.35">
      <c r="A5" s="1"/>
      <c r="B5" s="21" t="s">
        <v>48</v>
      </c>
      <c r="C5" s="22"/>
      <c r="D5" s="22"/>
      <c r="E5" s="23">
        <f>-('Question '!D21)</f>
        <v>-8800</v>
      </c>
      <c r="F5" s="24"/>
      <c r="G5" s="16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/>
      <c r="B6" s="21" t="s">
        <v>49</v>
      </c>
      <c r="C6" s="25"/>
      <c r="D6" s="22"/>
      <c r="E6" s="26"/>
      <c r="F6" s="24">
        <f>E4+E5</f>
        <v>1746400</v>
      </c>
      <c r="G6" s="16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/>
      <c r="B7" s="21" t="s">
        <v>87</v>
      </c>
      <c r="C7" s="22"/>
      <c r="D7" s="22"/>
      <c r="E7" s="26"/>
      <c r="F7" s="27">
        <f>-'Question '!D22</f>
        <v>-897400</v>
      </c>
      <c r="G7" s="16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/>
      <c r="B8" s="21"/>
      <c r="C8" s="25"/>
      <c r="D8" s="25" t="s">
        <v>50</v>
      </c>
      <c r="E8" s="26"/>
      <c r="F8" s="24">
        <f>F6+F7</f>
        <v>849000</v>
      </c>
      <c r="G8" s="16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1"/>
      <c r="B9" s="28" t="s">
        <v>52</v>
      </c>
      <c r="C9" s="22"/>
      <c r="D9" s="22"/>
      <c r="E9" s="26"/>
      <c r="F9" s="24"/>
      <c r="G9" s="16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/>
      <c r="B10" s="21" t="s">
        <v>17</v>
      </c>
      <c r="C10" s="22"/>
      <c r="D10" s="22"/>
      <c r="E10" s="26">
        <v>24400</v>
      </c>
      <c r="F10" s="29"/>
      <c r="G10" s="16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/>
      <c r="B11" s="21" t="s">
        <v>18</v>
      </c>
      <c r="C11" s="22"/>
      <c r="D11" s="22"/>
      <c r="E11" s="26">
        <v>14000</v>
      </c>
      <c r="F11" s="29"/>
      <c r="G11" s="16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/>
      <c r="B12" s="21" t="s">
        <v>19</v>
      </c>
      <c r="C12" s="22"/>
      <c r="D12" s="22"/>
      <c r="E12" s="26">
        <v>12100</v>
      </c>
      <c r="F12" s="29"/>
      <c r="G12" s="16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/>
      <c r="B13" s="21" t="s">
        <v>20</v>
      </c>
      <c r="C13" s="22"/>
      <c r="D13" s="22"/>
      <c r="E13" s="26">
        <v>24000</v>
      </c>
      <c r="F13" s="29"/>
      <c r="G13" s="16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21" t="s">
        <v>43</v>
      </c>
      <c r="C14" s="22"/>
      <c r="D14" s="22"/>
      <c r="E14" s="26">
        <v>16700</v>
      </c>
      <c r="F14" s="29"/>
      <c r="G14" s="16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1"/>
      <c r="B15" s="21" t="s">
        <v>23</v>
      </c>
      <c r="C15" s="22"/>
      <c r="D15" s="22"/>
      <c r="E15" s="26">
        <v>2400</v>
      </c>
      <c r="F15" s="29"/>
      <c r="G15" s="16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21" t="s">
        <v>21</v>
      </c>
      <c r="C16" s="22"/>
      <c r="D16" s="22"/>
      <c r="E16" s="26">
        <v>207200</v>
      </c>
      <c r="F16" s="29"/>
      <c r="G16" s="16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/>
      <c r="B17" s="21" t="s">
        <v>81</v>
      </c>
      <c r="C17" s="22"/>
      <c r="D17" s="22"/>
      <c r="E17" s="26">
        <f>6200-2000</f>
        <v>4200</v>
      </c>
      <c r="F17" s="29"/>
      <c r="G17" s="16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/>
      <c r="B18" s="21" t="s">
        <v>25</v>
      </c>
      <c r="C18" s="22"/>
      <c r="D18" s="22"/>
      <c r="E18" s="26">
        <v>302400</v>
      </c>
      <c r="F18" s="24"/>
      <c r="G18" s="16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/>
      <c r="B19" s="21" t="s">
        <v>79</v>
      </c>
      <c r="C19" s="22"/>
      <c r="D19" s="22"/>
      <c r="E19" s="26">
        <v>12600</v>
      </c>
      <c r="F19" s="24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/>
      <c r="B20" s="21" t="s">
        <v>80</v>
      </c>
      <c r="C20" s="22"/>
      <c r="D20" s="22"/>
      <c r="E20" s="23">
        <v>4200</v>
      </c>
      <c r="F20" s="24"/>
      <c r="G20" s="16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/>
      <c r="B21" s="30" t="s">
        <v>53</v>
      </c>
      <c r="C21" s="5"/>
      <c r="D21" s="22"/>
      <c r="E21" s="26"/>
      <c r="F21" s="31">
        <f>-SUM(E10:E20)</f>
        <v>-624200</v>
      </c>
      <c r="G21" s="16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/>
      <c r="B22" s="30"/>
      <c r="C22" s="25" t="s">
        <v>54</v>
      </c>
      <c r="D22" s="22"/>
      <c r="E22" s="26"/>
      <c r="F22" s="24">
        <f>F8+F21</f>
        <v>224800</v>
      </c>
      <c r="G22" s="16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1"/>
      <c r="B23" s="28" t="s">
        <v>55</v>
      </c>
      <c r="C23" s="25"/>
      <c r="D23" s="22"/>
      <c r="E23" s="26"/>
      <c r="F23" s="24"/>
      <c r="G23" s="16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32" t="s">
        <v>56</v>
      </c>
      <c r="C24" s="25"/>
      <c r="D24" s="22"/>
      <c r="E24" s="26">
        <f>'Question '!E14</f>
        <v>51000</v>
      </c>
      <c r="F24" s="24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28" t="s">
        <v>57</v>
      </c>
      <c r="C25" s="22"/>
      <c r="D25" s="22"/>
      <c r="E25" s="26"/>
      <c r="F25" s="24"/>
      <c r="G25" s="16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28"/>
      <c r="C26" s="22"/>
      <c r="D26" s="22"/>
      <c r="E26" s="23"/>
      <c r="F26" s="31">
        <f>SUM(E24:E26)</f>
        <v>51000</v>
      </c>
      <c r="G26" s="16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33"/>
      <c r="C27" s="25" t="s">
        <v>58</v>
      </c>
      <c r="D27" s="22"/>
      <c r="E27" s="26"/>
      <c r="F27" s="34">
        <f>F22+F26</f>
        <v>275800</v>
      </c>
      <c r="G27" s="16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21" t="s">
        <v>72</v>
      </c>
      <c r="C28" s="22"/>
      <c r="D28" s="22"/>
      <c r="E28" s="26"/>
      <c r="F28" s="27">
        <v>-8000</v>
      </c>
      <c r="G28" s="16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21"/>
      <c r="C29" s="25" t="s">
        <v>59</v>
      </c>
      <c r="D29" s="22"/>
      <c r="E29" s="26"/>
      <c r="F29" s="35">
        <f>F27+F28</f>
        <v>267800</v>
      </c>
      <c r="G29" s="16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21" t="s">
        <v>85</v>
      </c>
      <c r="C30" s="22"/>
      <c r="D30" s="22"/>
      <c r="E30" s="26"/>
      <c r="F30" s="27">
        <f>-(F29*0.425)</f>
        <v>-113815</v>
      </c>
      <c r="G30" s="16"/>
      <c r="H30" s="1"/>
      <c r="I30" s="1"/>
      <c r="J30" s="1"/>
      <c r="K30" s="1"/>
      <c r="L30" s="1"/>
      <c r="M30" s="1"/>
      <c r="N30" s="1"/>
      <c r="O30" s="1"/>
      <c r="P30" s="1"/>
    </row>
    <row r="31" spans="1:16" ht="15" thickBot="1" x14ac:dyDescent="0.4">
      <c r="A31" s="1"/>
      <c r="B31" s="21"/>
      <c r="C31" s="25" t="s">
        <v>60</v>
      </c>
      <c r="D31" s="22"/>
      <c r="E31" s="26"/>
      <c r="F31" s="36">
        <f>F29+F30</f>
        <v>153985</v>
      </c>
      <c r="G31" s="16"/>
      <c r="H31" s="1"/>
      <c r="I31" s="1"/>
      <c r="J31" s="1"/>
      <c r="K31" s="1"/>
      <c r="L31" s="1"/>
      <c r="M31" s="1"/>
      <c r="N31" s="1"/>
      <c r="O31" s="1"/>
      <c r="P31" s="1"/>
    </row>
    <row r="32" spans="1:16" ht="15.5" thickTop="1" thickBot="1" x14ac:dyDescent="0.4">
      <c r="A32" s="1"/>
      <c r="B32" s="37"/>
      <c r="C32" s="38"/>
      <c r="D32" s="38"/>
      <c r="E32" s="39"/>
      <c r="F32" s="40"/>
      <c r="G32" s="16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/>
      <c r="B33" s="72" t="s">
        <v>42</v>
      </c>
      <c r="C33" s="72"/>
      <c r="D33" s="72"/>
      <c r="E33" s="72"/>
      <c r="F33" s="72"/>
      <c r="G33" s="72"/>
      <c r="H33" s="72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/>
      <c r="B34" s="72"/>
      <c r="C34" s="72"/>
      <c r="D34" s="72"/>
      <c r="E34" s="72"/>
      <c r="F34" s="72"/>
      <c r="G34" s="72"/>
      <c r="H34" s="72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/>
      <c r="B35" s="72" t="s">
        <v>86</v>
      </c>
      <c r="C35" s="72"/>
      <c r="D35" s="72"/>
      <c r="E35" s="72"/>
      <c r="F35" s="72"/>
      <c r="G35" s="72"/>
      <c r="H35" s="72"/>
      <c r="I35" s="1"/>
      <c r="J35" s="1"/>
      <c r="K35" s="1"/>
      <c r="L35" s="1"/>
      <c r="M35" s="1"/>
      <c r="N35" s="1"/>
      <c r="O35" s="1"/>
      <c r="P35" s="1"/>
    </row>
    <row r="36" spans="1:16" ht="15" thickBot="1" x14ac:dyDescent="0.4">
      <c r="A36" s="1"/>
      <c r="B36" s="73" t="s">
        <v>40</v>
      </c>
      <c r="C36" s="73"/>
      <c r="D36" s="73"/>
      <c r="E36" s="73"/>
      <c r="F36" s="73"/>
      <c r="G36" s="73"/>
      <c r="H36" s="73"/>
      <c r="I36" s="1"/>
      <c r="J36" s="1"/>
      <c r="K36" s="1"/>
      <c r="L36" s="1"/>
      <c r="M36" s="1"/>
      <c r="N36" s="1"/>
      <c r="O36" s="1"/>
      <c r="P36" s="1"/>
    </row>
    <row r="37" spans="1:16" ht="31.25" customHeight="1" thickBot="1" x14ac:dyDescent="0.4">
      <c r="A37" s="1"/>
      <c r="B37" s="41"/>
      <c r="C37" s="42"/>
      <c r="D37" s="43"/>
      <c r="E37" s="53" t="s">
        <v>11</v>
      </c>
      <c r="F37" s="54" t="s">
        <v>69</v>
      </c>
      <c r="G37" s="53" t="s">
        <v>46</v>
      </c>
      <c r="H37" s="55" t="s">
        <v>29</v>
      </c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/>
      <c r="B38" s="30" t="s">
        <v>47</v>
      </c>
      <c r="C38" s="22"/>
      <c r="D38" s="24"/>
      <c r="E38" s="26">
        <v>100000</v>
      </c>
      <c r="F38" s="26">
        <v>220000</v>
      </c>
      <c r="G38" s="26">
        <v>50000</v>
      </c>
      <c r="H38" s="26">
        <f>SUM(E38:G38)</f>
        <v>370000</v>
      </c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30" t="s">
        <v>63</v>
      </c>
      <c r="C39" s="22"/>
      <c r="D39" s="24"/>
      <c r="E39" s="26"/>
      <c r="F39" s="26"/>
      <c r="G39" s="26">
        <f>F31</f>
        <v>153985</v>
      </c>
      <c r="H39" s="26">
        <f t="shared" ref="H39:H40" si="0">SUM(E39:G39)</f>
        <v>153985</v>
      </c>
      <c r="I39" s="1"/>
      <c r="J39" s="1"/>
      <c r="K39" s="1"/>
      <c r="L39" s="1"/>
      <c r="M39" s="1"/>
      <c r="N39" s="1"/>
      <c r="O39" s="1"/>
      <c r="P39" s="1"/>
    </row>
    <row r="40" spans="1:16" x14ac:dyDescent="0.35">
      <c r="A40" s="1"/>
      <c r="B40" s="30" t="s">
        <v>94</v>
      </c>
      <c r="C40" s="22"/>
      <c r="D40" s="24"/>
      <c r="E40" s="44"/>
      <c r="F40" s="26"/>
      <c r="G40" s="26">
        <v>-10000</v>
      </c>
      <c r="H40" s="26">
        <f t="shared" si="0"/>
        <v>-10000</v>
      </c>
      <c r="I40" s="1"/>
      <c r="J40" s="1"/>
      <c r="K40" s="1"/>
      <c r="L40" s="1"/>
      <c r="M40" s="1"/>
      <c r="N40" s="1"/>
      <c r="O40" s="1"/>
      <c r="P40" s="1"/>
    </row>
    <row r="41" spans="1:16" x14ac:dyDescent="0.35">
      <c r="A41" s="1"/>
      <c r="B41" s="21"/>
      <c r="C41" s="22"/>
      <c r="D41" s="24"/>
      <c r="E41" s="26"/>
      <c r="F41" s="26"/>
      <c r="G41" s="26"/>
      <c r="H41" s="26"/>
      <c r="I41" s="1"/>
      <c r="J41" s="1"/>
      <c r="K41" s="1"/>
      <c r="L41" s="1"/>
      <c r="M41" s="1"/>
      <c r="N41" s="1"/>
      <c r="O41" s="1"/>
      <c r="P41" s="1"/>
    </row>
    <row r="42" spans="1:16" ht="15" thickBot="1" x14ac:dyDescent="0.4">
      <c r="A42" s="1"/>
      <c r="B42" s="45" t="s">
        <v>64</v>
      </c>
      <c r="C42" s="38"/>
      <c r="D42" s="40"/>
      <c r="E42" s="63">
        <f>SUM(E38:E41)</f>
        <v>100000</v>
      </c>
      <c r="F42" s="63">
        <f t="shared" ref="F42:H42" si="1">SUM(F38:F41)</f>
        <v>220000</v>
      </c>
      <c r="G42" s="63">
        <f>G38+G39+G40</f>
        <v>193985</v>
      </c>
      <c r="H42" s="49">
        <f t="shared" si="1"/>
        <v>513985</v>
      </c>
      <c r="I42" s="1"/>
      <c r="J42" s="1"/>
      <c r="K42" s="16"/>
      <c r="L42" s="1"/>
      <c r="M42" s="1"/>
      <c r="N42" s="1"/>
      <c r="O42" s="1"/>
      <c r="P42" s="1"/>
    </row>
    <row r="43" spans="1:16" x14ac:dyDescent="0.35">
      <c r="A43" s="1"/>
      <c r="B43" s="16"/>
      <c r="C43" s="16"/>
      <c r="D43" s="16"/>
      <c r="E43" s="16"/>
      <c r="F43" s="16"/>
      <c r="G43" s="16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16"/>
      <c r="C44" s="16"/>
      <c r="D44" s="16"/>
      <c r="E44" s="16"/>
      <c r="F44" s="16"/>
      <c r="G44" s="16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5">
      <c r="A45" s="1"/>
      <c r="B45" s="16"/>
      <c r="C45" s="16"/>
      <c r="D45" s="16"/>
      <c r="E45" s="16"/>
      <c r="F45" s="16"/>
      <c r="G45" s="16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5">
      <c r="A46" s="1"/>
      <c r="B46" s="64" t="s">
        <v>42</v>
      </c>
      <c r="C46" s="64"/>
      <c r="D46" s="64"/>
      <c r="E46" s="64"/>
      <c r="F46" s="64"/>
      <c r="G46" s="16"/>
      <c r="H46" s="16"/>
      <c r="I46" s="16"/>
      <c r="J46" s="16"/>
      <c r="K46" s="16"/>
      <c r="L46" s="16"/>
      <c r="M46" s="1"/>
      <c r="N46" s="1"/>
      <c r="O46" s="1"/>
      <c r="P46" s="1"/>
    </row>
    <row r="47" spans="1:16" x14ac:dyDescent="0.35">
      <c r="A47" s="1"/>
      <c r="B47" s="64" t="s">
        <v>31</v>
      </c>
      <c r="C47" s="64"/>
      <c r="D47" s="64"/>
      <c r="E47" s="64"/>
      <c r="F47" s="64"/>
      <c r="G47" s="16"/>
      <c r="H47" s="16"/>
      <c r="I47" s="16"/>
      <c r="J47" s="16"/>
      <c r="K47" s="16"/>
      <c r="L47" s="16"/>
      <c r="M47" s="1"/>
      <c r="N47" s="1"/>
      <c r="O47" s="1"/>
      <c r="P47" s="1"/>
    </row>
    <row r="48" spans="1:16" ht="15" thickBot="1" x14ac:dyDescent="0.4">
      <c r="A48" s="1"/>
      <c r="B48" s="65" t="s">
        <v>41</v>
      </c>
      <c r="C48" s="65"/>
      <c r="D48" s="65"/>
      <c r="E48" s="65"/>
      <c r="F48" s="65"/>
      <c r="G48" s="16"/>
      <c r="H48" s="16"/>
      <c r="I48" s="16"/>
      <c r="J48" s="16"/>
      <c r="K48" s="16"/>
      <c r="L48" s="16"/>
      <c r="M48" s="1"/>
      <c r="N48" s="1"/>
      <c r="O48" s="1"/>
      <c r="P48" s="1"/>
    </row>
    <row r="49" spans="1:16" ht="16" thickBot="1" x14ac:dyDescent="0.4">
      <c r="A49" s="1"/>
      <c r="B49" s="66" t="s">
        <v>32</v>
      </c>
      <c r="C49" s="67"/>
      <c r="D49" s="67"/>
      <c r="E49" s="67"/>
      <c r="F49" s="68"/>
      <c r="G49" s="16"/>
      <c r="H49" s="16"/>
      <c r="I49" s="16"/>
      <c r="J49" s="16"/>
      <c r="K49" s="16"/>
      <c r="L49" s="16"/>
      <c r="M49" s="1"/>
      <c r="N49" s="1"/>
      <c r="O49" s="1"/>
      <c r="P49" s="1"/>
    </row>
    <row r="50" spans="1:16" x14ac:dyDescent="0.35">
      <c r="A50" s="1"/>
      <c r="B50" s="46" t="s">
        <v>33</v>
      </c>
      <c r="C50" s="18"/>
      <c r="D50" s="18"/>
      <c r="E50" s="19"/>
      <c r="F50" s="19"/>
      <c r="G50" s="16"/>
      <c r="H50" s="16"/>
      <c r="I50" s="16"/>
      <c r="J50" s="16"/>
      <c r="K50" s="16"/>
      <c r="L50" s="16"/>
      <c r="M50" s="1"/>
      <c r="N50" s="1"/>
      <c r="O50" s="1"/>
      <c r="P50" s="1"/>
    </row>
    <row r="51" spans="1:16" x14ac:dyDescent="0.35">
      <c r="A51" s="1"/>
      <c r="B51" s="21" t="s">
        <v>2</v>
      </c>
      <c r="C51" s="22"/>
      <c r="D51" s="22"/>
      <c r="E51" s="26">
        <v>28700</v>
      </c>
      <c r="F51" s="26"/>
      <c r="G51" s="16"/>
      <c r="H51" s="16"/>
      <c r="I51" s="16"/>
      <c r="J51" s="16"/>
      <c r="K51" s="16"/>
      <c r="L51" s="16"/>
      <c r="M51" s="1"/>
      <c r="N51" s="1"/>
      <c r="O51" s="1"/>
      <c r="P51" s="1"/>
    </row>
    <row r="52" spans="1:16" x14ac:dyDescent="0.35">
      <c r="A52" s="1"/>
      <c r="B52" s="21" t="s">
        <v>84</v>
      </c>
      <c r="C52" s="22"/>
      <c r="D52" s="22"/>
      <c r="E52" s="26">
        <v>2000</v>
      </c>
      <c r="F52" s="26"/>
      <c r="G52" s="16"/>
      <c r="H52" s="16"/>
      <c r="I52" s="16"/>
      <c r="J52" s="16"/>
      <c r="K52" s="16"/>
      <c r="L52" s="16"/>
      <c r="M52" s="1"/>
      <c r="N52" s="1"/>
      <c r="O52" s="1"/>
      <c r="P52" s="1"/>
    </row>
    <row r="53" spans="1:16" x14ac:dyDescent="0.35">
      <c r="A53" s="1"/>
      <c r="B53" s="21" t="s">
        <v>4</v>
      </c>
      <c r="C53" s="22"/>
      <c r="D53" s="22"/>
      <c r="E53" s="26">
        <v>44700</v>
      </c>
      <c r="F53" s="26"/>
      <c r="G53" s="16"/>
      <c r="H53" s="16"/>
      <c r="I53" s="16"/>
      <c r="J53" s="16"/>
      <c r="K53" s="16"/>
      <c r="L53" s="16"/>
      <c r="M53" s="1"/>
      <c r="N53" s="1"/>
      <c r="O53" s="1"/>
      <c r="P53" s="1"/>
    </row>
    <row r="54" spans="1:16" x14ac:dyDescent="0.35">
      <c r="A54" s="1"/>
      <c r="B54" s="21" t="s">
        <v>66</v>
      </c>
      <c r="C54" s="22"/>
      <c r="D54" s="22"/>
      <c r="E54" s="26">
        <f>30700</f>
        <v>30700</v>
      </c>
      <c r="F54" s="26"/>
      <c r="G54" s="16"/>
      <c r="H54" s="16"/>
      <c r="I54" s="16"/>
      <c r="J54" s="16"/>
      <c r="K54" s="16"/>
      <c r="L54" s="16"/>
      <c r="M54" s="1"/>
      <c r="N54" s="1"/>
      <c r="O54" s="1"/>
      <c r="P54" s="1"/>
    </row>
    <row r="55" spans="1:16" x14ac:dyDescent="0.35">
      <c r="A55" s="1"/>
      <c r="B55" s="21"/>
      <c r="C55" s="22"/>
      <c r="D55" s="22"/>
      <c r="E55" s="23"/>
      <c r="F55" s="26"/>
      <c r="G55" s="16"/>
      <c r="H55" s="16"/>
      <c r="I55" s="16"/>
      <c r="J55" s="16"/>
      <c r="K55" s="16"/>
      <c r="L55" s="16"/>
      <c r="M55" s="1"/>
      <c r="N55" s="1"/>
      <c r="O55" s="1"/>
      <c r="P55" s="1"/>
    </row>
    <row r="56" spans="1:16" x14ac:dyDescent="0.35">
      <c r="A56" s="1"/>
      <c r="B56" s="21"/>
      <c r="C56" s="25" t="s">
        <v>34</v>
      </c>
      <c r="D56" s="22"/>
      <c r="E56" s="26"/>
      <c r="F56" s="26">
        <f>SUM(E51:E55)</f>
        <v>106100</v>
      </c>
      <c r="G56" s="16"/>
      <c r="H56" s="16"/>
      <c r="I56" s="16"/>
      <c r="J56" s="16"/>
      <c r="K56" s="16"/>
      <c r="L56" s="16"/>
      <c r="M56" s="1"/>
      <c r="N56" s="1"/>
      <c r="O56" s="1"/>
      <c r="P56" s="1"/>
    </row>
    <row r="57" spans="1:16" x14ac:dyDescent="0.35">
      <c r="A57" s="1"/>
      <c r="B57" s="21"/>
      <c r="C57" s="22"/>
      <c r="D57" s="22"/>
      <c r="E57" s="26"/>
      <c r="F57" s="26"/>
      <c r="G57" s="16"/>
      <c r="H57" s="16"/>
      <c r="I57" s="16"/>
      <c r="J57" s="16"/>
      <c r="K57" s="16"/>
      <c r="L57" s="16"/>
      <c r="M57" s="1"/>
      <c r="N57" s="1"/>
      <c r="O57" s="1"/>
      <c r="P57" s="1"/>
    </row>
    <row r="58" spans="1:16" x14ac:dyDescent="0.35">
      <c r="A58" s="1"/>
      <c r="B58" s="21"/>
      <c r="C58" s="22"/>
      <c r="D58" s="22"/>
      <c r="E58" s="26"/>
      <c r="F58" s="26"/>
      <c r="G58" s="16"/>
      <c r="H58" s="16"/>
      <c r="I58" s="16"/>
      <c r="J58" s="16"/>
      <c r="K58" s="16"/>
      <c r="L58" s="16"/>
      <c r="M58" s="1"/>
      <c r="N58" s="1"/>
      <c r="O58" s="1"/>
      <c r="P58" s="1"/>
    </row>
    <row r="59" spans="1:16" x14ac:dyDescent="0.35">
      <c r="A59" s="1"/>
      <c r="B59" s="28" t="s">
        <v>35</v>
      </c>
      <c r="C59" s="22"/>
      <c r="D59" s="22"/>
      <c r="E59" s="26"/>
      <c r="F59" s="26"/>
      <c r="G59" s="16"/>
      <c r="H59" s="16"/>
      <c r="I59" s="16"/>
      <c r="J59" s="16"/>
      <c r="K59" s="16"/>
      <c r="L59" s="16"/>
      <c r="M59" s="1"/>
      <c r="N59" s="1"/>
      <c r="O59" s="1"/>
      <c r="P59" s="1"/>
    </row>
    <row r="60" spans="1:16" x14ac:dyDescent="0.35">
      <c r="A60" s="1"/>
      <c r="B60" s="21" t="s">
        <v>44</v>
      </c>
      <c r="C60" s="22"/>
      <c r="D60" s="22">
        <v>85000</v>
      </c>
      <c r="E60" s="47"/>
      <c r="F60" s="26"/>
      <c r="G60" s="16"/>
      <c r="H60" s="16"/>
      <c r="I60" s="16"/>
      <c r="J60" s="16"/>
      <c r="K60" s="16"/>
      <c r="L60" s="16"/>
      <c r="M60" s="1"/>
      <c r="N60" s="1"/>
      <c r="O60" s="1"/>
      <c r="P60" s="1"/>
    </row>
    <row r="61" spans="1:16" x14ac:dyDescent="0.35">
      <c r="A61" s="1"/>
      <c r="B61" s="21" t="s">
        <v>82</v>
      </c>
      <c r="C61" s="22"/>
      <c r="D61" s="48">
        <f>-(22000+12600)</f>
        <v>-34600</v>
      </c>
      <c r="E61" s="26">
        <f>D60+D61</f>
        <v>50400</v>
      </c>
      <c r="F61" s="26"/>
      <c r="G61" s="16"/>
      <c r="H61" s="16"/>
      <c r="I61" s="16"/>
      <c r="J61" s="16"/>
      <c r="K61" s="16"/>
      <c r="L61" s="16"/>
      <c r="M61" s="1"/>
      <c r="N61" s="1"/>
      <c r="O61" s="1"/>
      <c r="P61" s="1"/>
    </row>
    <row r="62" spans="1:16" x14ac:dyDescent="0.35">
      <c r="A62" s="1"/>
      <c r="B62" s="21"/>
      <c r="C62" s="22"/>
      <c r="D62" s="22"/>
      <c r="E62" s="47"/>
      <c r="F62" s="26"/>
      <c r="G62" s="16"/>
      <c r="H62" s="16"/>
      <c r="I62" s="16"/>
      <c r="J62" s="16"/>
      <c r="K62" s="16"/>
      <c r="L62" s="16"/>
      <c r="M62" s="1"/>
      <c r="N62" s="1"/>
      <c r="O62" s="1"/>
      <c r="P62" s="1"/>
    </row>
    <row r="63" spans="1:16" x14ac:dyDescent="0.35">
      <c r="A63" s="1"/>
      <c r="B63" s="21" t="s">
        <v>6</v>
      </c>
      <c r="C63" s="22"/>
      <c r="D63" s="22">
        <v>48000</v>
      </c>
      <c r="E63" s="47"/>
      <c r="F63" s="26"/>
      <c r="G63" s="16"/>
      <c r="H63" s="16"/>
      <c r="I63" s="16"/>
      <c r="J63" s="16"/>
      <c r="K63" s="16"/>
      <c r="L63" s="16"/>
      <c r="M63" s="1"/>
      <c r="N63" s="1"/>
      <c r="O63" s="1"/>
      <c r="P63" s="1"/>
    </row>
    <row r="64" spans="1:16" x14ac:dyDescent="0.35">
      <c r="A64" s="1"/>
      <c r="B64" s="21" t="s">
        <v>83</v>
      </c>
      <c r="C64" s="22"/>
      <c r="D64" s="48">
        <v>-10200</v>
      </c>
      <c r="E64" s="26">
        <f>D63+D64</f>
        <v>37800</v>
      </c>
      <c r="F64" s="26"/>
      <c r="G64" s="16"/>
      <c r="H64" s="16"/>
      <c r="I64" s="16"/>
      <c r="J64" s="16"/>
      <c r="K64" s="16"/>
      <c r="L64" s="16"/>
      <c r="M64" s="1"/>
      <c r="N64" s="1"/>
      <c r="O64" s="1"/>
      <c r="P64" s="1"/>
    </row>
    <row r="65" spans="1:16" x14ac:dyDescent="0.35">
      <c r="A65" s="1"/>
      <c r="B65" s="21"/>
      <c r="C65" s="22"/>
      <c r="D65" s="22"/>
      <c r="E65" s="26"/>
      <c r="F65" s="26"/>
      <c r="G65" s="16"/>
      <c r="H65" s="16"/>
      <c r="I65" s="16"/>
      <c r="J65" s="16"/>
      <c r="K65" s="16"/>
      <c r="L65" s="16"/>
      <c r="M65" s="1"/>
      <c r="N65" s="1"/>
      <c r="O65" s="1"/>
      <c r="P65" s="1"/>
    </row>
    <row r="66" spans="1:16" x14ac:dyDescent="0.35">
      <c r="A66" s="1"/>
      <c r="B66" s="21" t="s">
        <v>51</v>
      </c>
      <c r="C66" s="22"/>
      <c r="D66" s="22"/>
      <c r="E66" s="23">
        <f>'Question '!D7</f>
        <v>600000</v>
      </c>
      <c r="F66" s="26"/>
      <c r="G66" s="16"/>
      <c r="H66" s="16"/>
      <c r="I66" s="16"/>
      <c r="J66" s="16"/>
      <c r="K66" s="16"/>
      <c r="L66" s="16"/>
      <c r="M66" s="1"/>
      <c r="N66" s="1"/>
      <c r="O66" s="1"/>
      <c r="P66" s="1"/>
    </row>
    <row r="67" spans="1:16" x14ac:dyDescent="0.35">
      <c r="A67" s="1"/>
      <c r="B67" s="21"/>
      <c r="C67" s="25" t="s">
        <v>61</v>
      </c>
      <c r="D67" s="22"/>
      <c r="E67" s="26"/>
      <c r="F67" s="26">
        <f>SUM(E61:E66)</f>
        <v>688200</v>
      </c>
      <c r="G67" s="16"/>
      <c r="H67" s="16"/>
      <c r="I67" s="16"/>
      <c r="J67" s="16"/>
      <c r="K67" s="16"/>
      <c r="L67" s="16"/>
      <c r="M67" s="1"/>
      <c r="N67" s="1"/>
      <c r="O67" s="1"/>
      <c r="P67" s="1"/>
    </row>
    <row r="68" spans="1:16" x14ac:dyDescent="0.35">
      <c r="A68" s="1"/>
      <c r="B68" s="21"/>
      <c r="C68" s="22"/>
      <c r="D68" s="22"/>
      <c r="E68" s="26"/>
      <c r="F68" s="26"/>
      <c r="G68" s="16"/>
      <c r="H68" s="16"/>
      <c r="I68" s="16"/>
      <c r="J68" s="16"/>
      <c r="K68" s="16"/>
      <c r="L68" s="16"/>
      <c r="M68" s="1"/>
      <c r="N68" s="1"/>
      <c r="O68" s="1"/>
      <c r="P68" s="1"/>
    </row>
    <row r="69" spans="1:16" ht="15" thickBot="1" x14ac:dyDescent="0.4">
      <c r="A69" s="1"/>
      <c r="B69" s="21"/>
      <c r="C69" s="22"/>
      <c r="D69" s="25" t="s">
        <v>36</v>
      </c>
      <c r="E69" s="26"/>
      <c r="F69" s="49">
        <f>SUM(F52:F68)</f>
        <v>794300</v>
      </c>
      <c r="G69" s="16"/>
      <c r="H69" s="16"/>
      <c r="I69" s="16"/>
      <c r="J69" s="16"/>
      <c r="K69" s="16"/>
      <c r="L69" s="16"/>
      <c r="M69" s="1"/>
      <c r="N69" s="1"/>
      <c r="O69" s="1"/>
      <c r="P69" s="1"/>
    </row>
    <row r="70" spans="1:16" ht="15" thickTop="1" x14ac:dyDescent="0.35">
      <c r="A70" s="1"/>
      <c r="B70" s="21"/>
      <c r="C70" s="25"/>
      <c r="D70" s="22"/>
      <c r="E70" s="26"/>
      <c r="F70" s="44"/>
      <c r="G70" s="16"/>
      <c r="H70" s="16"/>
      <c r="I70" s="16"/>
      <c r="J70" s="16"/>
      <c r="K70" s="16"/>
      <c r="L70" s="16"/>
      <c r="M70" s="1"/>
      <c r="N70" s="1"/>
      <c r="O70" s="1"/>
      <c r="P70" s="1"/>
    </row>
    <row r="71" spans="1:16" ht="15" thickBot="1" x14ac:dyDescent="0.4">
      <c r="A71" s="1"/>
      <c r="B71" s="37"/>
      <c r="C71" s="50"/>
      <c r="D71" s="38"/>
      <c r="E71" s="39"/>
      <c r="F71" s="51"/>
      <c r="G71" s="16"/>
      <c r="H71" s="16"/>
      <c r="I71" s="16"/>
      <c r="J71" s="16"/>
      <c r="K71" s="16"/>
      <c r="L71" s="16"/>
      <c r="M71" s="1"/>
      <c r="N71" s="1"/>
      <c r="O71" s="1"/>
      <c r="P71" s="1"/>
    </row>
    <row r="72" spans="1:16" ht="16" thickBot="1" x14ac:dyDescent="0.4">
      <c r="A72" s="1"/>
      <c r="B72" s="69" t="s">
        <v>90</v>
      </c>
      <c r="C72" s="70"/>
      <c r="D72" s="70"/>
      <c r="E72" s="70"/>
      <c r="F72" s="71"/>
      <c r="G72" s="16"/>
      <c r="H72" s="16"/>
      <c r="I72" s="16"/>
      <c r="J72" s="16"/>
      <c r="K72" s="16"/>
      <c r="L72" s="16"/>
      <c r="M72" s="1"/>
      <c r="N72" s="1"/>
      <c r="O72" s="1"/>
      <c r="P72" s="1"/>
    </row>
    <row r="73" spans="1:16" x14ac:dyDescent="0.35">
      <c r="A73" s="1"/>
      <c r="B73" s="46" t="s">
        <v>37</v>
      </c>
      <c r="C73" s="18"/>
      <c r="D73" s="20"/>
      <c r="E73" s="19"/>
      <c r="F73" s="19"/>
      <c r="G73" s="16"/>
      <c r="H73" s="16"/>
      <c r="I73" s="16"/>
      <c r="J73" s="16"/>
      <c r="K73" s="16"/>
      <c r="L73" s="16"/>
      <c r="M73" s="1"/>
      <c r="N73" s="1"/>
      <c r="O73" s="1"/>
      <c r="P73" s="1"/>
    </row>
    <row r="74" spans="1:16" x14ac:dyDescent="0.35">
      <c r="A74" s="1"/>
      <c r="B74" s="21" t="s">
        <v>8</v>
      </c>
      <c r="C74" s="22"/>
      <c r="D74" s="24"/>
      <c r="E74" s="26">
        <v>48500</v>
      </c>
      <c r="F74" s="26"/>
      <c r="G74" s="16"/>
      <c r="H74" s="16"/>
      <c r="I74" s="16"/>
      <c r="J74" s="16"/>
      <c r="K74" s="16"/>
      <c r="L74" s="16"/>
      <c r="M74" s="1"/>
      <c r="N74" s="1"/>
      <c r="O74" s="1"/>
      <c r="P74" s="1"/>
    </row>
    <row r="75" spans="1:16" x14ac:dyDescent="0.35">
      <c r="A75" s="1"/>
      <c r="B75" s="21" t="s">
        <v>73</v>
      </c>
      <c r="C75" s="22"/>
      <c r="D75" s="24"/>
      <c r="E75" s="26">
        <f>-F28</f>
        <v>8000</v>
      </c>
      <c r="F75" s="26"/>
      <c r="G75" s="16"/>
      <c r="H75" s="16"/>
      <c r="I75" s="16"/>
      <c r="J75" s="16"/>
      <c r="K75" s="16"/>
      <c r="L75" s="16"/>
      <c r="M75" s="1"/>
      <c r="N75" s="1"/>
      <c r="O75" s="1"/>
      <c r="P75" s="1"/>
    </row>
    <row r="76" spans="1:16" x14ac:dyDescent="0.35">
      <c r="A76" s="1"/>
      <c r="B76" s="21" t="s">
        <v>74</v>
      </c>
      <c r="C76" s="22"/>
      <c r="D76" s="24"/>
      <c r="E76" s="23">
        <f>-F30</f>
        <v>113815</v>
      </c>
      <c r="F76" s="26"/>
      <c r="G76" s="16"/>
      <c r="H76" s="16"/>
      <c r="I76" s="16"/>
      <c r="J76" s="16"/>
      <c r="K76" s="16"/>
      <c r="L76" s="16"/>
      <c r="M76" s="1"/>
      <c r="N76" s="1"/>
      <c r="O76" s="1"/>
      <c r="P76" s="1"/>
    </row>
    <row r="77" spans="1:16" x14ac:dyDescent="0.35">
      <c r="A77" s="1"/>
      <c r="B77" s="21" t="s">
        <v>75</v>
      </c>
      <c r="C77" s="22"/>
      <c r="D77" s="24"/>
      <c r="E77" s="26">
        <v>10000</v>
      </c>
      <c r="F77" s="26"/>
      <c r="G77" s="16"/>
      <c r="H77" s="16"/>
      <c r="I77" s="16"/>
      <c r="J77" s="16"/>
      <c r="K77" s="16"/>
      <c r="L77" s="16"/>
      <c r="M77" s="1"/>
      <c r="N77" s="1"/>
      <c r="O77" s="1"/>
      <c r="P77" s="1"/>
    </row>
    <row r="78" spans="1:16" x14ac:dyDescent="0.35">
      <c r="A78" s="1"/>
      <c r="B78" s="30" t="s">
        <v>65</v>
      </c>
      <c r="C78" s="25"/>
      <c r="D78" s="24"/>
      <c r="E78" s="26"/>
      <c r="F78" s="26">
        <f>SUM(E74:E77)</f>
        <v>180315</v>
      </c>
      <c r="G78" s="16"/>
      <c r="H78" s="16"/>
      <c r="I78" s="16"/>
      <c r="J78" s="16"/>
      <c r="K78" s="16"/>
      <c r="L78" s="16"/>
      <c r="M78" s="1"/>
      <c r="N78" s="1"/>
      <c r="O78" s="1"/>
      <c r="P78" s="1"/>
    </row>
    <row r="79" spans="1:16" x14ac:dyDescent="0.35">
      <c r="A79" s="1"/>
      <c r="B79" s="21"/>
      <c r="C79" s="25"/>
      <c r="D79" s="24"/>
      <c r="E79" s="26"/>
      <c r="F79" s="26"/>
      <c r="G79" s="16"/>
      <c r="H79" s="16"/>
      <c r="I79" s="16"/>
      <c r="J79" s="16"/>
      <c r="K79" s="16"/>
      <c r="L79" s="16"/>
      <c r="M79" s="1"/>
      <c r="N79" s="1"/>
      <c r="O79" s="1"/>
      <c r="P79" s="1"/>
    </row>
    <row r="80" spans="1:16" x14ac:dyDescent="0.35">
      <c r="A80" s="1"/>
      <c r="B80" s="21"/>
      <c r="C80" s="22"/>
      <c r="D80" s="24"/>
      <c r="E80" s="26"/>
      <c r="F80" s="26"/>
      <c r="G80" s="16"/>
      <c r="H80" s="16"/>
      <c r="I80" s="16"/>
      <c r="J80" s="16"/>
      <c r="K80" s="16"/>
      <c r="L80" s="16"/>
      <c r="M80" s="1"/>
      <c r="N80" s="1"/>
      <c r="O80" s="1"/>
      <c r="P80" s="1"/>
    </row>
    <row r="81" spans="1:16" x14ac:dyDescent="0.35">
      <c r="A81" s="1"/>
      <c r="B81" s="21"/>
      <c r="C81" s="22"/>
      <c r="D81" s="24"/>
      <c r="E81" s="26"/>
      <c r="F81" s="26"/>
      <c r="G81" s="16"/>
      <c r="H81" s="16"/>
      <c r="I81" s="16"/>
      <c r="J81" s="16"/>
      <c r="K81" s="16"/>
      <c r="L81" s="16"/>
      <c r="M81" s="1"/>
      <c r="N81" s="1"/>
      <c r="O81" s="1"/>
      <c r="P81" s="1"/>
    </row>
    <row r="82" spans="1:16" x14ac:dyDescent="0.35">
      <c r="A82" s="1"/>
      <c r="B82" s="28" t="s">
        <v>38</v>
      </c>
      <c r="C82" s="22"/>
      <c r="D82" s="24"/>
      <c r="E82" s="26"/>
      <c r="F82" s="26"/>
      <c r="G82" s="16"/>
      <c r="H82" s="16"/>
      <c r="I82" s="16"/>
      <c r="J82" s="16"/>
      <c r="K82" s="16"/>
      <c r="L82" s="16"/>
      <c r="M82" s="1"/>
      <c r="N82" s="1"/>
      <c r="O82" s="1"/>
      <c r="P82" s="1"/>
    </row>
    <row r="83" spans="1:16" x14ac:dyDescent="0.35">
      <c r="A83" s="1"/>
      <c r="B83" s="21" t="s">
        <v>22</v>
      </c>
      <c r="C83" s="22"/>
      <c r="D83" s="24"/>
      <c r="E83" s="22">
        <v>100000</v>
      </c>
      <c r="F83" s="26"/>
      <c r="G83" s="16"/>
      <c r="H83" s="16"/>
      <c r="I83" s="16"/>
      <c r="J83" s="16"/>
      <c r="K83" s="16"/>
      <c r="L83" s="16"/>
      <c r="M83" s="1"/>
      <c r="N83" s="1"/>
      <c r="O83" s="1"/>
      <c r="P83" s="1"/>
    </row>
    <row r="84" spans="1:16" x14ac:dyDescent="0.35">
      <c r="A84" s="1"/>
      <c r="B84" s="28"/>
      <c r="C84" s="22"/>
      <c r="D84" s="24"/>
      <c r="E84" s="23"/>
      <c r="F84" s="26"/>
      <c r="G84" s="16"/>
      <c r="H84" s="16"/>
      <c r="I84" s="16"/>
      <c r="J84" s="16"/>
      <c r="K84" s="16"/>
      <c r="L84" s="16"/>
      <c r="M84" s="1"/>
      <c r="N84" s="1"/>
      <c r="O84" s="1"/>
      <c r="P84" s="1"/>
    </row>
    <row r="85" spans="1:16" x14ac:dyDescent="0.35">
      <c r="A85" s="1"/>
      <c r="B85" s="30" t="s">
        <v>62</v>
      </c>
      <c r="C85" s="5"/>
      <c r="D85" s="24"/>
      <c r="E85" s="22"/>
      <c r="F85" s="26">
        <f>SUM(E83:E84)</f>
        <v>100000</v>
      </c>
      <c r="G85" s="16"/>
      <c r="H85" s="16"/>
      <c r="I85" s="16"/>
      <c r="J85" s="16"/>
      <c r="K85" s="16"/>
      <c r="L85" s="16"/>
      <c r="M85" s="1"/>
      <c r="N85" s="1"/>
      <c r="O85" s="1"/>
      <c r="P85" s="1"/>
    </row>
    <row r="86" spans="1:16" x14ac:dyDescent="0.35">
      <c r="A86" s="1"/>
      <c r="B86" s="21"/>
      <c r="C86" s="22"/>
      <c r="D86" s="24"/>
      <c r="E86" s="5"/>
      <c r="F86" s="23"/>
      <c r="G86" s="16"/>
      <c r="H86" s="16"/>
      <c r="I86" s="16"/>
      <c r="J86" s="16"/>
      <c r="K86" s="16"/>
      <c r="L86" s="16"/>
      <c r="M86" s="1"/>
      <c r="N86" s="1"/>
      <c r="O86" s="1"/>
      <c r="P86" s="1"/>
    </row>
    <row r="87" spans="1:16" x14ac:dyDescent="0.35">
      <c r="A87" s="1"/>
      <c r="B87" s="21"/>
      <c r="C87" s="25" t="s">
        <v>39</v>
      </c>
      <c r="D87" s="24"/>
      <c r="E87" s="26"/>
      <c r="F87" s="52">
        <f>SUM(F75:F86)</f>
        <v>280315</v>
      </c>
      <c r="G87" s="16"/>
      <c r="H87" s="16"/>
      <c r="I87" s="16"/>
      <c r="J87" s="16"/>
      <c r="K87" s="16"/>
      <c r="L87" s="16"/>
      <c r="M87" s="1"/>
      <c r="N87" s="1"/>
      <c r="O87" s="1"/>
      <c r="P87" s="1"/>
    </row>
    <row r="88" spans="1:16" x14ac:dyDescent="0.35">
      <c r="A88" s="1"/>
      <c r="B88" s="28" t="s">
        <v>89</v>
      </c>
      <c r="C88" s="22"/>
      <c r="D88" s="24"/>
      <c r="E88" s="26"/>
      <c r="F88" s="26"/>
      <c r="G88" s="16"/>
      <c r="H88" s="16"/>
      <c r="I88" s="16"/>
      <c r="J88" s="16"/>
      <c r="K88" s="16"/>
      <c r="L88" s="16"/>
      <c r="M88" s="1"/>
      <c r="N88" s="1"/>
      <c r="O88" s="1"/>
      <c r="P88" s="1"/>
    </row>
    <row r="89" spans="1:16" x14ac:dyDescent="0.35">
      <c r="A89" s="1"/>
      <c r="B89" s="30" t="s">
        <v>68</v>
      </c>
      <c r="C89" s="22"/>
      <c r="D89" s="24"/>
      <c r="E89" s="26"/>
      <c r="F89" s="26"/>
      <c r="G89" s="16"/>
      <c r="H89" s="16"/>
      <c r="I89" s="16"/>
      <c r="J89" s="16"/>
      <c r="K89" s="16"/>
      <c r="L89" s="16"/>
      <c r="M89" s="1"/>
      <c r="N89" s="1"/>
      <c r="O89" s="1"/>
      <c r="P89" s="1"/>
    </row>
    <row r="90" spans="1:16" x14ac:dyDescent="0.35">
      <c r="A90" s="1"/>
      <c r="B90" s="21" t="s">
        <v>11</v>
      </c>
      <c r="C90" s="22"/>
      <c r="D90" s="24"/>
      <c r="E90" s="26">
        <f>E42</f>
        <v>100000</v>
      </c>
      <c r="F90" s="26"/>
      <c r="G90" s="16"/>
      <c r="H90" s="16"/>
      <c r="I90" s="16"/>
      <c r="J90" s="16"/>
      <c r="K90" s="16"/>
      <c r="L90" s="16"/>
      <c r="M90" s="1"/>
      <c r="N90" s="1"/>
      <c r="O90" s="1"/>
      <c r="P90" s="1"/>
    </row>
    <row r="91" spans="1:16" x14ac:dyDescent="0.35">
      <c r="A91" s="1"/>
      <c r="B91" s="21" t="s">
        <v>69</v>
      </c>
      <c r="C91" s="22"/>
      <c r="D91" s="24"/>
      <c r="E91" s="23">
        <f>F42</f>
        <v>220000</v>
      </c>
      <c r="F91" s="26"/>
      <c r="G91" s="16"/>
      <c r="H91" s="16"/>
      <c r="I91" s="16"/>
      <c r="J91" s="16"/>
      <c r="K91" s="16"/>
      <c r="L91" s="16"/>
      <c r="M91" s="1"/>
      <c r="N91" s="1"/>
      <c r="O91" s="1"/>
      <c r="P91" s="1"/>
    </row>
    <row r="92" spans="1:16" x14ac:dyDescent="0.35">
      <c r="A92" s="1"/>
      <c r="B92" s="30" t="s">
        <v>88</v>
      </c>
      <c r="C92" s="22"/>
      <c r="D92" s="24"/>
      <c r="E92" s="26">
        <f>SUM(E90:E91)</f>
        <v>320000</v>
      </c>
      <c r="F92" s="26"/>
      <c r="G92" s="16"/>
      <c r="H92" s="16"/>
      <c r="I92" s="16"/>
      <c r="J92" s="16"/>
      <c r="K92" s="16"/>
      <c r="L92" s="16"/>
      <c r="M92" s="1"/>
      <c r="N92" s="1"/>
      <c r="O92" s="1"/>
      <c r="P92" s="1"/>
    </row>
    <row r="93" spans="1:16" x14ac:dyDescent="0.35">
      <c r="A93" s="1"/>
      <c r="B93" s="30" t="s">
        <v>13</v>
      </c>
      <c r="C93" s="22"/>
      <c r="D93" s="24"/>
      <c r="E93" s="23">
        <f>G42</f>
        <v>193985</v>
      </c>
      <c r="F93" s="26"/>
      <c r="G93" s="16"/>
      <c r="H93" s="16"/>
      <c r="I93" s="16"/>
      <c r="J93" s="16"/>
      <c r="K93" s="16"/>
      <c r="L93" s="16"/>
      <c r="M93" s="1"/>
      <c r="N93" s="1"/>
      <c r="O93" s="1"/>
      <c r="P93" s="1"/>
    </row>
    <row r="94" spans="1:16" x14ac:dyDescent="0.35">
      <c r="A94" s="1"/>
      <c r="B94" s="21"/>
      <c r="C94" s="25" t="s">
        <v>91</v>
      </c>
      <c r="D94" s="24"/>
      <c r="E94" s="26"/>
      <c r="F94" s="23">
        <f>SUM(E92:E93)</f>
        <v>513985</v>
      </c>
      <c r="G94" s="16"/>
      <c r="H94" s="16"/>
      <c r="I94" s="16"/>
      <c r="J94" s="16"/>
      <c r="K94" s="16"/>
      <c r="L94" s="16"/>
      <c r="M94" s="1"/>
      <c r="N94" s="1"/>
      <c r="O94" s="1"/>
      <c r="P94" s="1"/>
    </row>
    <row r="95" spans="1:16" x14ac:dyDescent="0.35">
      <c r="A95" s="1"/>
      <c r="B95" s="21"/>
      <c r="C95" s="22"/>
      <c r="D95" s="24"/>
      <c r="E95" s="26"/>
      <c r="F95" s="26"/>
      <c r="G95" s="16"/>
      <c r="H95" s="16"/>
      <c r="I95" s="16"/>
      <c r="J95" s="16"/>
      <c r="K95" s="16"/>
      <c r="L95" s="16"/>
      <c r="M95" s="1"/>
      <c r="N95" s="1"/>
      <c r="O95" s="1"/>
      <c r="P95" s="1"/>
    </row>
    <row r="96" spans="1:16" ht="15" thickBot="1" x14ac:dyDescent="0.4">
      <c r="A96" s="1"/>
      <c r="B96" s="21"/>
      <c r="C96" s="25" t="s">
        <v>92</v>
      </c>
      <c r="D96" s="24"/>
      <c r="E96" s="26"/>
      <c r="F96" s="49">
        <f>F87+F94</f>
        <v>794300</v>
      </c>
      <c r="G96" s="16"/>
      <c r="H96" s="16"/>
      <c r="I96" s="16"/>
      <c r="J96" s="16"/>
      <c r="K96" s="16"/>
      <c r="L96" s="16"/>
      <c r="M96" s="1"/>
      <c r="N96" s="1"/>
      <c r="O96" s="1"/>
      <c r="P96" s="1"/>
    </row>
    <row r="97" spans="1:16" ht="15" thickTop="1" x14ac:dyDescent="0.35">
      <c r="A97" s="1"/>
      <c r="B97" s="21"/>
      <c r="C97" s="22"/>
      <c r="D97" s="24"/>
      <c r="E97" s="26"/>
      <c r="F97" s="26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" thickBot="1" x14ac:dyDescent="0.4">
      <c r="A98" s="1"/>
      <c r="B98" s="37"/>
      <c r="C98" s="38"/>
      <c r="D98" s="40"/>
      <c r="E98" s="39"/>
      <c r="F98" s="39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35">
      <c r="A99" s="1"/>
      <c r="B99" s="16"/>
      <c r="C99" s="16"/>
      <c r="D99" s="16"/>
      <c r="E99" s="16"/>
      <c r="F99" s="16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35">
      <c r="A100" s="1"/>
      <c r="B100" s="16"/>
      <c r="C100" s="16"/>
      <c r="D100" s="16"/>
      <c r="E100" s="16"/>
      <c r="F100" s="16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</sheetData>
  <mergeCells count="11">
    <mergeCell ref="B49:F49"/>
    <mergeCell ref="B72:F72"/>
    <mergeCell ref="B33:H34"/>
    <mergeCell ref="B35:H35"/>
    <mergeCell ref="B36:H36"/>
    <mergeCell ref="B48:F48"/>
    <mergeCell ref="B1:F1"/>
    <mergeCell ref="B46:F46"/>
    <mergeCell ref="B2:F2"/>
    <mergeCell ref="B47:F47"/>
    <mergeCell ref="B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</vt:lpstr>
      <vt:lpstr>Solution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2024-12-17T06:47:18Z</dcterms:modified>
</cp:coreProperties>
</file>