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ACHING (BRAC Uni) 2\5-fall 2022\5\s1 feb 27\"/>
    </mc:Choice>
  </mc:AlternateContent>
  <xr:revisionPtr revIDLastSave="0" documentId="13_ncr:1_{EA8F7F59-658D-4E9E-8F62-91BE54426DEA}" xr6:coauthVersionLast="40" xr6:coauthVersionMax="47" xr10:uidLastSave="{00000000-0000-0000-0000-000000000000}"/>
  <bookViews>
    <workbookView xWindow="-110" yWindow="-110" windowWidth="23260" windowHeight="12580" activeTab="1" xr2:uid="{00000000-000D-0000-FFFF-FFFF00000000}"/>
  </bookViews>
  <sheets>
    <sheet name="Question " sheetId="8" r:id="rId1"/>
    <sheet name="Worksheet " sheetId="10" r:id="rId2"/>
  </sheets>
  <calcPr calcId="181029"/>
</workbook>
</file>

<file path=xl/calcChain.xml><?xml version="1.0" encoding="utf-8"?>
<calcChain xmlns="http://schemas.openxmlformats.org/spreadsheetml/2006/main">
  <c r="M26" i="10" l="1"/>
  <c r="Q10" i="10"/>
  <c r="K22" i="10"/>
  <c r="Q22" i="10" s="1"/>
  <c r="J21" i="10"/>
  <c r="M21" i="10" s="1"/>
  <c r="J17" i="10"/>
  <c r="M17" i="10" s="1"/>
  <c r="J16" i="10"/>
  <c r="M16" i="10" s="1"/>
  <c r="K15" i="10"/>
  <c r="N15" i="10" s="1"/>
  <c r="N25" i="10" s="1"/>
  <c r="N27" i="10" s="1"/>
  <c r="J14" i="10"/>
  <c r="P14" i="10" s="1"/>
  <c r="K13" i="10"/>
  <c r="Q13" i="10" s="1"/>
  <c r="K12" i="10"/>
  <c r="Q12" i="10" s="1"/>
  <c r="K11" i="10"/>
  <c r="K27" i="10" s="1"/>
  <c r="K10" i="10"/>
  <c r="J9" i="10"/>
  <c r="P9" i="10" s="1"/>
  <c r="J8" i="10"/>
  <c r="P8" i="10" s="1"/>
  <c r="J7" i="10"/>
  <c r="P7" i="10" s="1"/>
  <c r="J6" i="10"/>
  <c r="P6" i="10" s="1"/>
  <c r="P25" i="10" s="1"/>
  <c r="P27" i="10" s="1"/>
  <c r="Q11" i="10" l="1"/>
  <c r="Q25" i="10" s="1"/>
  <c r="Q27" i="10" s="1"/>
  <c r="G12" i="10"/>
  <c r="G27" i="10" s="1"/>
  <c r="H15" i="10"/>
  <c r="H27" i="10" s="1"/>
  <c r="G20" i="10"/>
  <c r="J20" i="10" s="1"/>
  <c r="J27" i="10" l="1"/>
  <c r="M20" i="10"/>
  <c r="M25" i="10" s="1"/>
  <c r="M27" i="10" s="1"/>
  <c r="E18" i="10"/>
  <c r="D18" i="10"/>
  <c r="E21" i="8" l="1"/>
  <c r="D21" i="8"/>
</calcChain>
</file>

<file path=xl/sharedStrings.xml><?xml version="1.0" encoding="utf-8"?>
<sst xmlns="http://schemas.openxmlformats.org/spreadsheetml/2006/main" count="74" uniqueCount="48">
  <si>
    <t>Account Titles</t>
  </si>
  <si>
    <t>Dr.</t>
  </si>
  <si>
    <t>Cr.</t>
  </si>
  <si>
    <t>Adjusted Trial Balance</t>
  </si>
  <si>
    <t>Income Statement</t>
  </si>
  <si>
    <t>Balance Sheet</t>
  </si>
  <si>
    <t>Cash</t>
  </si>
  <si>
    <t>Accounts Receivable</t>
  </si>
  <si>
    <t>Equipment</t>
  </si>
  <si>
    <t>Accounts Payable</t>
  </si>
  <si>
    <t>Owner's Capital</t>
  </si>
  <si>
    <t>Owner's Drawings</t>
  </si>
  <si>
    <t>Service Revenue</t>
  </si>
  <si>
    <t>Salaries and Wages Expense</t>
  </si>
  <si>
    <t>Instructions:</t>
  </si>
  <si>
    <t>Answers are on the other tab in this file.</t>
  </si>
  <si>
    <t>1.</t>
  </si>
  <si>
    <t>2.</t>
  </si>
  <si>
    <t>Worksheet</t>
  </si>
  <si>
    <t>Trial Balance</t>
  </si>
  <si>
    <t>Supplies</t>
  </si>
  <si>
    <t>Accumulated Depreciation-Equipment</t>
  </si>
  <si>
    <t>Unearned Service Revenue</t>
  </si>
  <si>
    <t>Miscellaneous Expense</t>
  </si>
  <si>
    <t>Other data:</t>
  </si>
  <si>
    <t>2.  Depreciation for March is $250.</t>
  </si>
  <si>
    <t>Adjustments</t>
  </si>
  <si>
    <t>`</t>
  </si>
  <si>
    <t xml:space="preserve">     Totals</t>
  </si>
  <si>
    <t>After you have completed the requirements of P4-1A, consider these additional questions.</t>
  </si>
  <si>
    <t>Suppose the March 31 balance of Supplies changed to $750, show how this changes the Worksheet,  Income Statement, the Balance Sheet,</t>
  </si>
  <si>
    <t>Suppose the March 31 balance of Unearned Service Revenue changed to $350, show how this changes the Worksheet, Income Statement, the Balance Sheet,</t>
  </si>
  <si>
    <t>1.  A physical count reveals only $480 of roofing supplies on hand.</t>
  </si>
  <si>
    <t>3.  Unearned service revenue amounted to $260 at March 31.</t>
  </si>
  <si>
    <t>4.  Accrued salaries  are $700.</t>
  </si>
  <si>
    <t>adjusting and closing entries.</t>
  </si>
  <si>
    <t>For the Month Ended March 31, 2020</t>
  </si>
  <si>
    <t>(a) Prepare a complete 10 column Worksheet</t>
  </si>
  <si>
    <t xml:space="preserve">Salaries and Wages Payable </t>
  </si>
  <si>
    <t xml:space="preserve">Supplies Expense (2000-480) </t>
  </si>
  <si>
    <t>The trial balance columns of the worksheet for Wayne Roofing at March 31, 2020 are as follows.</t>
  </si>
  <si>
    <t>WAYNE ROOFING</t>
  </si>
  <si>
    <t>WAYNE  ROOFING</t>
  </si>
  <si>
    <t xml:space="preserve">Depreciation Expense </t>
  </si>
  <si>
    <t xml:space="preserve">Totals </t>
  </si>
  <si>
    <t xml:space="preserve">Net Income </t>
  </si>
  <si>
    <t xml:space="preserve">Worksheet </t>
  </si>
  <si>
    <t>Problem: Prepare a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</si>
</sst>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10">
    <font>
      <sz val="11"/>
      <color theme="1"/>
      <name val="Calibri"/>
      <family val="2"/>
      <scheme val="minor"/>
    </font>
    <font>
      <sz val="12"/>
      <color theme="1"/>
      <name val="Liberation Sans"/>
      <family val="2"/>
    </font>
    <font>
      <sz val="11"/>
      <color theme="1"/>
      <name val="Liberation Sans"/>
      <family val="2"/>
    </font>
    <font>
      <sz val="12"/>
      <name val="Liberation Sans"/>
      <family val="2"/>
    </font>
    <font>
      <b/>
      <sz val="12"/>
      <name val="Liberation Sans"/>
      <family val="2"/>
    </font>
    <font>
      <u/>
      <sz val="12"/>
      <name val="Liberation Sans"/>
      <family val="2"/>
    </font>
    <font>
      <u/>
      <sz val="12"/>
      <color theme="1"/>
      <name val="Liberation Sans"/>
      <family val="2"/>
    </font>
    <font>
      <sz val="11"/>
      <name val="Liberation Sans"/>
      <family val="2"/>
    </font>
    <font>
      <b/>
      <i/>
      <sz val="12"/>
      <name val="Liberation Sans"/>
      <family val="2"/>
    </font>
    <font>
      <b/>
      <i/>
      <u/>
      <sz val="12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E9D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3" fontId="1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quotePrefix="1" applyFont="1" applyFill="1"/>
    <xf numFmtId="0" fontId="2" fillId="0" borderId="0" xfId="0" applyFont="1"/>
    <xf numFmtId="0" fontId="1" fillId="0" borderId="0" xfId="0" quotePrefix="1" applyFont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3" fontId="1" fillId="0" borderId="0" xfId="0" applyNumberFormat="1" applyFont="1" applyFill="1" applyAlignment="1">
      <alignment horizontal="center"/>
    </xf>
    <xf numFmtId="4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" fillId="2" borderId="0" xfId="0" applyFont="1" applyFill="1" applyBorder="1"/>
    <xf numFmtId="0" fontId="3" fillId="2" borderId="2" xfId="0" applyFont="1" applyFill="1" applyBorder="1" applyAlignment="1">
      <alignment horizontal="center"/>
    </xf>
    <xf numFmtId="0" fontId="7" fillId="2" borderId="0" xfId="0" applyFont="1" applyFill="1" applyBorder="1"/>
    <xf numFmtId="0" fontId="2" fillId="0" borderId="0" xfId="0" applyFont="1" applyAlignment="1">
      <alignment wrapText="1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2" fillId="0" borderId="6" xfId="0" applyFont="1" applyBorder="1"/>
    <xf numFmtId="0" fontId="4" fillId="0" borderId="7" xfId="0" applyFont="1" applyFill="1" applyBorder="1" applyAlignment="1">
      <alignment horizontal="center"/>
    </xf>
    <xf numFmtId="0" fontId="3" fillId="0" borderId="6" xfId="0" applyFont="1" applyFill="1" applyBorder="1"/>
    <xf numFmtId="0" fontId="3" fillId="0" borderId="7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3" fontId="1" fillId="3" borderId="10" xfId="0" applyNumberFormat="1" applyFont="1" applyFill="1" applyBorder="1" applyAlignment="1">
      <alignment horizontal="right"/>
    </xf>
    <xf numFmtId="3" fontId="1" fillId="3" borderId="11" xfId="0" applyNumberFormat="1" applyFont="1" applyFill="1" applyBorder="1" applyAlignment="1">
      <alignment horizontal="right"/>
    </xf>
    <xf numFmtId="3" fontId="3" fillId="0" borderId="0" xfId="0" applyNumberFormat="1" applyFont="1" applyFill="1" applyBorder="1"/>
    <xf numFmtId="3" fontId="1" fillId="0" borderId="0" xfId="0" applyNumberFormat="1" applyFont="1"/>
    <xf numFmtId="3" fontId="3" fillId="0" borderId="12" xfId="0" applyNumberFormat="1" applyFont="1" applyFill="1" applyBorder="1" applyAlignment="1">
      <alignment horizontal="center"/>
    </xf>
    <xf numFmtId="3" fontId="3" fillId="0" borderId="13" xfId="0" applyNumberFormat="1" applyFont="1" applyFill="1" applyBorder="1" applyAlignment="1">
      <alignment horizontal="right"/>
    </xf>
    <xf numFmtId="3" fontId="1" fillId="0" borderId="6" xfId="0" applyNumberFormat="1" applyFont="1" applyBorder="1" applyAlignment="1">
      <alignment horizontal="center"/>
    </xf>
    <xf numFmtId="3" fontId="1" fillId="0" borderId="7" xfId="0" applyNumberFormat="1" applyFont="1" applyBorder="1"/>
    <xf numFmtId="3" fontId="1" fillId="3" borderId="16" xfId="0" applyNumberFormat="1" applyFont="1" applyFill="1" applyBorder="1" applyAlignment="1">
      <alignment horizontal="right"/>
    </xf>
    <xf numFmtId="3" fontId="1" fillId="3" borderId="14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3" borderId="18" xfId="0" applyNumberFormat="1" applyFont="1" applyFill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9" xfId="0" applyNumberFormat="1" applyFont="1" applyBorder="1"/>
    <xf numFmtId="3" fontId="1" fillId="0" borderId="9" xfId="0" applyNumberFormat="1" applyFont="1" applyBorder="1" applyAlignment="1">
      <alignment horizontal="center"/>
    </xf>
    <xf numFmtId="3" fontId="1" fillId="0" borderId="8" xfId="0" applyNumberFormat="1" applyFont="1" applyBorder="1"/>
    <xf numFmtId="0" fontId="0" fillId="0" borderId="0" xfId="0" quotePrefix="1"/>
    <xf numFmtId="0" fontId="0" fillId="0" borderId="0" xfId="0" applyAlignment="1"/>
    <xf numFmtId="0" fontId="8" fillId="2" borderId="19" xfId="0" applyFont="1" applyFill="1" applyBorder="1"/>
    <xf numFmtId="0" fontId="3" fillId="2" borderId="20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41" fontId="3" fillId="2" borderId="7" xfId="0" applyNumberFormat="1" applyFont="1" applyFill="1" applyBorder="1" applyAlignment="1"/>
    <xf numFmtId="41" fontId="3" fillId="2" borderId="13" xfId="0" applyNumberFormat="1" applyFont="1" applyFill="1" applyBorder="1" applyAlignment="1"/>
    <xf numFmtId="0" fontId="3" fillId="2" borderId="8" xfId="0" applyFont="1" applyFill="1" applyBorder="1"/>
    <xf numFmtId="0" fontId="3" fillId="2" borderId="3" xfId="0" applyFont="1" applyFill="1" applyBorder="1"/>
    <xf numFmtId="41" fontId="3" fillId="2" borderId="9" xfId="0" applyNumberFormat="1" applyFont="1" applyFill="1" applyBorder="1" applyAlignment="1">
      <alignment horizontal="center"/>
    </xf>
    <xf numFmtId="0" fontId="3" fillId="2" borderId="23" xfId="0" applyFont="1" applyFill="1" applyBorder="1" applyAlignment="1">
      <alignment horizontal="right"/>
    </xf>
    <xf numFmtId="41" fontId="3" fillId="2" borderId="6" xfId="0" applyNumberFormat="1" applyFont="1" applyFill="1" applyBorder="1" applyAlignment="1"/>
    <xf numFmtId="41" fontId="3" fillId="2" borderId="12" xfId="0" applyNumberFormat="1" applyFont="1" applyFill="1" applyBorder="1" applyAlignment="1"/>
    <xf numFmtId="41" fontId="3" fillId="2" borderId="8" xfId="0" applyNumberFormat="1" applyFont="1" applyFill="1" applyBorder="1" applyAlignment="1">
      <alignment horizontal="center"/>
    </xf>
    <xf numFmtId="0" fontId="3" fillId="2" borderId="19" xfId="0" applyFont="1" applyFill="1" applyBorder="1"/>
    <xf numFmtId="0" fontId="3" fillId="2" borderId="20" xfId="0" applyFont="1" applyFill="1" applyBorder="1"/>
    <xf numFmtId="0" fontId="4" fillId="2" borderId="22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9" xfId="0" applyFont="1" applyFill="1" applyBorder="1"/>
    <xf numFmtId="0" fontId="3" fillId="2" borderId="21" xfId="0" applyFont="1" applyFill="1" applyBorder="1"/>
    <xf numFmtId="0" fontId="3" fillId="2" borderId="2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7" fillId="2" borderId="3" xfId="0" applyFont="1" applyFill="1" applyBorder="1"/>
    <xf numFmtId="0" fontId="3" fillId="2" borderId="27" xfId="0" applyFont="1" applyFill="1" applyBorder="1" applyAlignment="1">
      <alignment horizontal="center"/>
    </xf>
    <xf numFmtId="0" fontId="9" fillId="2" borderId="19" xfId="0" applyFont="1" applyFill="1" applyBorder="1"/>
    <xf numFmtId="3" fontId="1" fillId="3" borderId="28" xfId="0" applyNumberFormat="1" applyFont="1" applyFill="1" applyBorder="1" applyAlignment="1">
      <alignment horizontal="right"/>
    </xf>
    <xf numFmtId="3" fontId="1" fillId="3" borderId="29" xfId="0" applyNumberFormat="1" applyFont="1" applyFill="1" applyBorder="1" applyAlignment="1">
      <alignment horizontal="right"/>
    </xf>
    <xf numFmtId="3" fontId="1" fillId="3" borderId="30" xfId="0" applyNumberFormat="1" applyFont="1" applyFill="1" applyBorder="1" applyAlignment="1">
      <alignment horizontal="right"/>
    </xf>
    <xf numFmtId="3" fontId="1" fillId="3" borderId="31" xfId="0" applyNumberFormat="1" applyFont="1" applyFill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EF3"/>
      <color rgb="FFFFFFCC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158"/>
  <sheetViews>
    <sheetView topLeftCell="A7" zoomScale="113" zoomScaleNormal="120" workbookViewId="0">
      <selection activeCell="B6" sqref="B6:E6"/>
    </sheetView>
  </sheetViews>
  <sheetFormatPr defaultColWidth="9.08984375" defaultRowHeight="14"/>
  <cols>
    <col min="1" max="1" width="2" style="8" customWidth="1"/>
    <col min="2" max="2" width="9.08984375" style="8"/>
    <col min="3" max="3" width="29.36328125" style="8" customWidth="1"/>
    <col min="4" max="4" width="12.90625" style="24" customWidth="1"/>
    <col min="5" max="5" width="9.6328125" style="24" bestFit="1" customWidth="1"/>
    <col min="6" max="6" width="2.36328125" style="8" customWidth="1"/>
    <col min="7" max="7" width="1.1796875" style="8" customWidth="1"/>
    <col min="8" max="8" width="12.6328125" style="24" customWidth="1"/>
    <col min="9" max="9" width="72.90625" style="24" customWidth="1"/>
    <col min="10" max="10" width="1" style="24" customWidth="1"/>
    <col min="11" max="12" width="12" style="24" customWidth="1"/>
    <col min="13" max="13" width="1" style="24" customWidth="1"/>
    <col min="14" max="14" width="11.453125" style="8" customWidth="1"/>
    <col min="15" max="15" width="11.6328125" style="8" customWidth="1"/>
    <col min="16" max="16" width="0.90625" style="8" customWidth="1"/>
    <col min="17" max="17" width="13.453125" style="8" customWidth="1"/>
    <col min="18" max="18" width="12" style="8" customWidth="1"/>
    <col min="19" max="16384" width="9.08984375" style="8"/>
  </cols>
  <sheetData>
    <row r="1" spans="2:22" ht="15.5">
      <c r="B1" s="84" t="s">
        <v>47</v>
      </c>
      <c r="C1" s="77"/>
      <c r="D1" s="78"/>
      <c r="E1" s="78"/>
      <c r="F1" s="77"/>
      <c r="G1" s="77"/>
      <c r="H1" s="78"/>
      <c r="I1" s="79"/>
      <c r="J1" s="55"/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</row>
    <row r="2" spans="2:22" ht="15.5">
      <c r="B2" s="56" t="s">
        <v>40</v>
      </c>
      <c r="C2" s="19"/>
      <c r="D2" s="25"/>
      <c r="E2" s="25"/>
      <c r="F2" s="19"/>
      <c r="G2" s="19"/>
      <c r="H2" s="25"/>
      <c r="I2" s="20"/>
      <c r="J2" s="57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</row>
    <row r="3" spans="2:22" ht="16" thickBot="1">
      <c r="B3" s="56"/>
      <c r="C3" s="19"/>
      <c r="D3" s="25"/>
      <c r="E3" s="25"/>
      <c r="F3" s="19"/>
      <c r="G3" s="19"/>
      <c r="H3" s="25"/>
      <c r="I3" s="20"/>
      <c r="J3" s="57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</row>
    <row r="4" spans="2:22" ht="15.5">
      <c r="B4" s="97" t="s">
        <v>41</v>
      </c>
      <c r="C4" s="98"/>
      <c r="D4" s="98"/>
      <c r="E4" s="99"/>
      <c r="F4" s="21"/>
      <c r="G4" s="21"/>
      <c r="H4" s="25"/>
      <c r="I4" s="20"/>
      <c r="J4" s="57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</row>
    <row r="5" spans="2:22" ht="15.5">
      <c r="B5" s="100" t="s">
        <v>46</v>
      </c>
      <c r="C5" s="101"/>
      <c r="D5" s="101"/>
      <c r="E5" s="102"/>
      <c r="F5" s="21"/>
      <c r="G5" s="21"/>
      <c r="H5" s="25"/>
      <c r="I5" s="20"/>
      <c r="J5" s="57"/>
      <c r="K5" s="4"/>
      <c r="L5" s="4"/>
      <c r="M5" s="4"/>
      <c r="N5" s="1"/>
      <c r="O5" s="1"/>
      <c r="P5" s="1"/>
      <c r="Q5" s="1"/>
      <c r="R5" s="1"/>
      <c r="S5" s="1"/>
      <c r="T5" s="1"/>
      <c r="U5" s="1"/>
      <c r="V5" s="1"/>
    </row>
    <row r="6" spans="2:22" ht="35.4" customHeight="1" thickBot="1">
      <c r="B6" s="103" t="s">
        <v>36</v>
      </c>
      <c r="C6" s="104"/>
      <c r="D6" s="104"/>
      <c r="E6" s="105"/>
      <c r="F6" s="21"/>
      <c r="G6" s="21"/>
      <c r="H6" s="25"/>
      <c r="I6" s="20"/>
      <c r="J6" s="57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</row>
    <row r="7" spans="2:22" ht="16" thickBot="1">
      <c r="B7" s="72"/>
      <c r="C7" s="73"/>
      <c r="D7" s="106" t="s">
        <v>19</v>
      </c>
      <c r="E7" s="107"/>
      <c r="F7" s="21"/>
      <c r="G7" s="21"/>
      <c r="H7" s="25"/>
      <c r="I7" s="20"/>
      <c r="J7" s="57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</row>
    <row r="8" spans="2:22" ht="15.5">
      <c r="B8" s="61" t="s">
        <v>0</v>
      </c>
      <c r="C8" s="74"/>
      <c r="D8" s="68" t="s">
        <v>1</v>
      </c>
      <c r="E8" s="62" t="s">
        <v>2</v>
      </c>
      <c r="F8" s="21"/>
      <c r="G8" s="21"/>
      <c r="H8" s="60" t="s">
        <v>24</v>
      </c>
      <c r="I8" s="55"/>
      <c r="J8" s="57"/>
      <c r="K8" s="4"/>
      <c r="L8" s="4"/>
      <c r="M8" s="4"/>
      <c r="N8" s="1"/>
      <c r="O8" s="1"/>
      <c r="P8" s="1"/>
      <c r="Q8" s="1"/>
      <c r="R8" s="1"/>
      <c r="S8" s="1"/>
      <c r="T8" s="1"/>
      <c r="U8" s="1"/>
      <c r="V8" s="1"/>
    </row>
    <row r="9" spans="2:22" ht="15.5">
      <c r="B9" s="95" t="s">
        <v>6</v>
      </c>
      <c r="C9" s="96"/>
      <c r="D9" s="69">
        <v>4500</v>
      </c>
      <c r="E9" s="63"/>
      <c r="F9" s="21"/>
      <c r="G9" s="21"/>
      <c r="H9" s="56" t="s">
        <v>32</v>
      </c>
      <c r="I9" s="57"/>
      <c r="J9" s="57"/>
      <c r="K9" s="4"/>
      <c r="L9" s="4"/>
      <c r="M9" s="4"/>
      <c r="N9" s="1"/>
      <c r="O9" s="1"/>
      <c r="P9" s="1"/>
      <c r="Q9" s="1"/>
      <c r="R9" s="1"/>
      <c r="S9" s="1"/>
      <c r="T9" s="1"/>
      <c r="U9" s="1"/>
      <c r="V9" s="1"/>
    </row>
    <row r="10" spans="2:22" ht="15.5">
      <c r="B10" s="93" t="s">
        <v>7</v>
      </c>
      <c r="C10" s="94"/>
      <c r="D10" s="69">
        <v>3200</v>
      </c>
      <c r="E10" s="63"/>
      <c r="F10" s="21"/>
      <c r="G10" s="21"/>
      <c r="H10" s="56" t="s">
        <v>25</v>
      </c>
      <c r="I10" s="57"/>
      <c r="J10" s="57"/>
      <c r="K10" s="4"/>
      <c r="L10" s="4"/>
      <c r="M10" s="4"/>
      <c r="N10" s="1"/>
      <c r="O10" s="1"/>
      <c r="P10" s="1"/>
      <c r="Q10" s="1"/>
      <c r="R10" s="1"/>
      <c r="S10" s="1"/>
      <c r="T10" s="1"/>
      <c r="U10" s="1"/>
      <c r="V10" s="1"/>
    </row>
    <row r="11" spans="2:22" ht="15.5">
      <c r="B11" s="93" t="s">
        <v>20</v>
      </c>
      <c r="C11" s="94"/>
      <c r="D11" s="69">
        <v>2000</v>
      </c>
      <c r="E11" s="63"/>
      <c r="F11" s="21"/>
      <c r="G11" s="21"/>
      <c r="H11" s="56" t="s">
        <v>33</v>
      </c>
      <c r="I11" s="57"/>
      <c r="J11" s="57"/>
      <c r="K11" s="4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</row>
    <row r="12" spans="2:22" ht="15.5">
      <c r="B12" s="93" t="s">
        <v>8</v>
      </c>
      <c r="C12" s="94"/>
      <c r="D12" s="69">
        <v>11000</v>
      </c>
      <c r="E12" s="63"/>
      <c r="F12" s="21"/>
      <c r="G12" s="21"/>
      <c r="H12" s="56" t="s">
        <v>34</v>
      </c>
      <c r="I12" s="57"/>
      <c r="J12" s="57"/>
      <c r="K12" s="4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</row>
    <row r="13" spans="2:22" ht="16" thickBot="1">
      <c r="B13" s="93" t="s">
        <v>21</v>
      </c>
      <c r="C13" s="94"/>
      <c r="D13" s="69"/>
      <c r="E13" s="63">
        <v>1250</v>
      </c>
      <c r="F13" s="21"/>
      <c r="G13" s="21"/>
      <c r="H13" s="58"/>
      <c r="I13" s="59"/>
      <c r="J13" s="57"/>
      <c r="K13" s="4"/>
      <c r="L13" s="4"/>
      <c r="M13" s="4"/>
      <c r="N13" s="1"/>
      <c r="O13" s="1"/>
      <c r="P13" s="1"/>
      <c r="Q13" s="1"/>
      <c r="R13" s="1"/>
      <c r="S13" s="1"/>
      <c r="T13" s="1"/>
      <c r="U13" s="1"/>
      <c r="V13" s="1"/>
    </row>
    <row r="14" spans="2:22" ht="16" thickBot="1">
      <c r="B14" s="93" t="s">
        <v>9</v>
      </c>
      <c r="C14" s="94"/>
      <c r="D14" s="69"/>
      <c r="E14" s="63">
        <v>2500</v>
      </c>
      <c r="F14" s="21"/>
      <c r="G14" s="21"/>
      <c r="H14" s="25"/>
      <c r="I14" s="20"/>
      <c r="J14" s="57"/>
      <c r="K14" s="4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</row>
    <row r="15" spans="2:22" ht="15.5">
      <c r="B15" s="93" t="s">
        <v>22</v>
      </c>
      <c r="C15" s="94"/>
      <c r="D15" s="69"/>
      <c r="E15" s="63">
        <v>550</v>
      </c>
      <c r="F15" s="21"/>
      <c r="G15" s="21"/>
      <c r="H15" s="54" t="s">
        <v>14</v>
      </c>
      <c r="I15" s="55"/>
      <c r="J15" s="57"/>
      <c r="K15" s="4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</row>
    <row r="16" spans="2:22" ht="15.5">
      <c r="B16" s="93" t="s">
        <v>10</v>
      </c>
      <c r="C16" s="94"/>
      <c r="D16" s="69"/>
      <c r="E16" s="63">
        <v>12900</v>
      </c>
      <c r="F16" s="21"/>
      <c r="G16" s="21"/>
      <c r="H16" s="56" t="s">
        <v>37</v>
      </c>
      <c r="I16" s="57"/>
      <c r="J16" s="57"/>
      <c r="K16" s="4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</row>
    <row r="17" spans="2:22" ht="15.5">
      <c r="B17" s="93" t="s">
        <v>11</v>
      </c>
      <c r="C17" s="94"/>
      <c r="D17" s="69">
        <v>1100</v>
      </c>
      <c r="E17" s="63"/>
      <c r="F17" s="21"/>
      <c r="G17" s="21"/>
      <c r="H17" s="56"/>
      <c r="I17" s="57"/>
      <c r="J17" s="57"/>
      <c r="K17" s="4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</row>
    <row r="18" spans="2:22" ht="15.5">
      <c r="B18" s="93" t="s">
        <v>12</v>
      </c>
      <c r="C18" s="94"/>
      <c r="D18" s="69"/>
      <c r="E18" s="63">
        <v>6300</v>
      </c>
      <c r="F18" s="21"/>
      <c r="G18" s="21"/>
      <c r="H18" s="56"/>
      <c r="I18" s="57"/>
      <c r="J18" s="57"/>
      <c r="K18" s="4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</row>
    <row r="19" spans="2:22" ht="16" thickBot="1">
      <c r="B19" s="93" t="s">
        <v>13</v>
      </c>
      <c r="C19" s="94"/>
      <c r="D19" s="69">
        <v>1300</v>
      </c>
      <c r="E19" s="63"/>
      <c r="F19" s="21"/>
      <c r="G19" s="21"/>
      <c r="H19" s="58"/>
      <c r="I19" s="59"/>
      <c r="J19" s="57"/>
      <c r="K19" s="4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</row>
    <row r="20" spans="2:22" ht="15.5">
      <c r="B20" s="93" t="s">
        <v>23</v>
      </c>
      <c r="C20" s="94"/>
      <c r="D20" s="69">
        <v>400</v>
      </c>
      <c r="E20" s="63"/>
      <c r="F20" s="21"/>
      <c r="G20" s="21"/>
      <c r="H20" s="25"/>
      <c r="I20" s="20"/>
      <c r="J20" s="57"/>
      <c r="K20" s="4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</row>
    <row r="21" spans="2:22" ht="16" thickBot="1">
      <c r="B21" s="56"/>
      <c r="C21" s="75"/>
      <c r="D21" s="70">
        <f>SUM(D9:D20)</f>
        <v>23500</v>
      </c>
      <c r="E21" s="64">
        <f>SUM(E9:E20)</f>
        <v>23500</v>
      </c>
      <c r="F21" s="21"/>
      <c r="G21" s="21"/>
      <c r="H21" s="25"/>
      <c r="I21" s="20"/>
      <c r="J21" s="57"/>
      <c r="K21" s="4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</row>
    <row r="22" spans="2:22" ht="16.5" thickTop="1" thickBot="1">
      <c r="B22" s="65"/>
      <c r="C22" s="76"/>
      <c r="D22" s="71"/>
      <c r="E22" s="67"/>
      <c r="F22" s="21"/>
      <c r="G22" s="21"/>
      <c r="H22" s="25"/>
      <c r="I22" s="20"/>
      <c r="J22" s="57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</row>
    <row r="23" spans="2:22" ht="15.5">
      <c r="B23" s="80"/>
      <c r="C23" s="26"/>
      <c r="D23" s="25"/>
      <c r="E23" s="25"/>
      <c r="F23" s="21"/>
      <c r="G23" s="21"/>
      <c r="H23" s="25"/>
      <c r="I23" s="20"/>
      <c r="J23" s="57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</row>
    <row r="24" spans="2:22" ht="16" thickBot="1">
      <c r="B24" s="65"/>
      <c r="C24" s="66"/>
      <c r="D24" s="81"/>
      <c r="E24" s="81"/>
      <c r="F24" s="82"/>
      <c r="G24" s="82"/>
      <c r="H24" s="81"/>
      <c r="I24" s="83"/>
      <c r="J24" s="59"/>
      <c r="K24" s="4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</row>
    <row r="25" spans="2:22" ht="15.65" customHeight="1">
      <c r="B25" s="53"/>
      <c r="C25" s="53"/>
      <c r="D25" s="53"/>
      <c r="E25" s="53"/>
      <c r="F25" s="53"/>
      <c r="G25" s="53"/>
      <c r="H25" s="53"/>
      <c r="I25" s="53"/>
      <c r="J25" s="10"/>
      <c r="K25" s="4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</row>
    <row r="26" spans="2:22" ht="15.65" customHeight="1">
      <c r="B26" s="53"/>
      <c r="C26" s="53"/>
      <c r="D26" s="53"/>
      <c r="E26" s="53"/>
      <c r="F26" s="53"/>
      <c r="G26" s="53"/>
      <c r="H26" s="53"/>
      <c r="I26" s="53"/>
      <c r="J26" s="10"/>
      <c r="K26" s="4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</row>
    <row r="27" spans="2:22" ht="15.65" customHeight="1">
      <c r="B27" s="53"/>
      <c r="C27" s="53"/>
      <c r="D27" s="53"/>
      <c r="E27" s="53"/>
      <c r="F27" s="53"/>
      <c r="G27" s="53"/>
      <c r="H27" s="53"/>
      <c r="I27" s="53"/>
      <c r="J27" s="10"/>
      <c r="K27" s="4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</row>
    <row r="28" spans="2:22" ht="15.65" customHeight="1">
      <c r="B28" s="53"/>
      <c r="C28" s="53"/>
      <c r="D28" s="53"/>
      <c r="E28" s="53"/>
      <c r="F28" s="53"/>
      <c r="G28" s="53"/>
      <c r="H28" s="53"/>
      <c r="I28" s="53"/>
      <c r="J28" s="10"/>
      <c r="K28" s="4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</row>
    <row r="29" spans="2:22" ht="15.65" customHeight="1">
      <c r="B29" s="53"/>
      <c r="C29" s="53"/>
      <c r="D29" s="53"/>
      <c r="E29" s="53"/>
      <c r="F29" s="53"/>
      <c r="G29" s="53"/>
      <c r="H29" s="53"/>
      <c r="I29" s="53"/>
      <c r="J29" s="10"/>
      <c r="K29" s="4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</row>
    <row r="30" spans="2:22" ht="15.65" customHeight="1">
      <c r="B30" s="53"/>
      <c r="C30" s="53"/>
      <c r="D30" s="53"/>
      <c r="E30" s="53"/>
      <c r="F30" s="53"/>
      <c r="G30" s="53"/>
      <c r="H30" s="53"/>
      <c r="I30" s="53"/>
      <c r="J30" s="10"/>
      <c r="K30" s="4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</row>
    <row r="31" spans="2:22" ht="15.65" customHeight="1">
      <c r="B31" s="53"/>
      <c r="C31" s="53"/>
      <c r="D31" s="53"/>
      <c r="E31" s="53"/>
      <c r="F31" s="53"/>
      <c r="G31" s="53"/>
      <c r="H31" s="53"/>
      <c r="I31" s="53"/>
      <c r="J31" s="10"/>
      <c r="K31" s="4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</row>
    <row r="32" spans="2:22" ht="15.65" customHeight="1">
      <c r="B32" s="53"/>
      <c r="C32" s="53"/>
      <c r="D32" s="53"/>
      <c r="E32" s="53"/>
      <c r="F32" s="53"/>
      <c r="G32" s="53"/>
      <c r="H32" s="53"/>
      <c r="I32" s="53"/>
      <c r="J32" s="10"/>
      <c r="K32" s="4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</row>
    <row r="33" spans="2:22" ht="15.65" customHeight="1">
      <c r="B33" s="53"/>
      <c r="C33" s="53"/>
      <c r="D33" s="53"/>
      <c r="E33" s="53"/>
      <c r="F33" s="53"/>
      <c r="G33" s="53"/>
      <c r="H33" s="53"/>
      <c r="I33" s="53"/>
      <c r="J33" s="10"/>
      <c r="K33" s="4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</row>
    <row r="34" spans="2:22" ht="15.65" customHeight="1">
      <c r="B34" s="53"/>
      <c r="C34" s="53"/>
      <c r="D34" s="53"/>
      <c r="E34" s="53"/>
      <c r="F34" s="53"/>
      <c r="G34" s="53"/>
      <c r="H34" s="53"/>
      <c r="I34" s="53"/>
      <c r="J34" s="10"/>
      <c r="K34" s="4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</row>
    <row r="35" spans="2:22" ht="15.65" customHeight="1">
      <c r="B35" s="53"/>
      <c r="C35" s="53"/>
      <c r="D35" s="53"/>
      <c r="E35" s="53"/>
      <c r="F35" s="53"/>
      <c r="G35" s="53"/>
      <c r="H35" s="53"/>
      <c r="I35" s="53"/>
      <c r="J35" s="10"/>
      <c r="K35" s="4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</row>
    <row r="36" spans="2:22" ht="15.65" customHeight="1">
      <c r="B36" s="53"/>
      <c r="C36" s="53"/>
      <c r="D36" s="53"/>
      <c r="E36" s="53"/>
      <c r="F36" s="53"/>
      <c r="G36" s="53"/>
      <c r="H36" s="53"/>
      <c r="I36" s="53"/>
      <c r="J36" s="10"/>
      <c r="K36" s="4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</row>
    <row r="37" spans="2:22" ht="15.65" customHeight="1">
      <c r="B37" s="53"/>
      <c r="C37" s="53"/>
      <c r="D37" s="53"/>
      <c r="E37" s="53"/>
      <c r="F37" s="53"/>
      <c r="G37" s="53"/>
      <c r="H37" s="53"/>
      <c r="I37" s="53"/>
      <c r="J37" s="10"/>
      <c r="K37" s="4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</row>
    <row r="38" spans="2:22" ht="15.5">
      <c r="B38" s="1"/>
      <c r="C38" s="1"/>
      <c r="D38" s="4"/>
      <c r="E38" s="4"/>
      <c r="F38" s="1"/>
      <c r="G38" s="1"/>
      <c r="H38" s="4"/>
      <c r="I38" s="4"/>
      <c r="J38" s="4"/>
      <c r="K38" s="4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</row>
    <row r="39" spans="2:22" ht="15.65" customHeight="1"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1"/>
      <c r="T39" s="1"/>
      <c r="U39" s="1"/>
      <c r="V39" s="1"/>
    </row>
    <row r="40" spans="2:22" ht="15.65" customHeight="1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1"/>
      <c r="T40" s="1"/>
      <c r="U40" s="1"/>
      <c r="V40" s="1"/>
    </row>
    <row r="41" spans="2:22" ht="15.65" customHeight="1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1"/>
      <c r="T41" s="1"/>
      <c r="U41" s="1"/>
      <c r="V41" s="1"/>
    </row>
    <row r="42" spans="2:22" ht="15.65" customHeight="1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1"/>
      <c r="T42" s="1"/>
      <c r="U42" s="1"/>
      <c r="V42" s="1"/>
    </row>
    <row r="43" spans="2:22" s="22" customFormat="1" ht="32.25" customHeight="1"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2"/>
      <c r="T43" s="2"/>
      <c r="U43" s="2"/>
      <c r="V43" s="2"/>
    </row>
    <row r="44" spans="2:22" ht="15.65" customHeight="1"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1"/>
      <c r="T44" s="1"/>
      <c r="U44" s="1"/>
      <c r="V44" s="1"/>
    </row>
    <row r="45" spans="2:22" ht="15.65" customHeight="1"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1"/>
      <c r="T45" s="1"/>
      <c r="U45" s="1"/>
      <c r="V45" s="1"/>
    </row>
    <row r="46" spans="2:22" ht="15.65" customHeight="1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1"/>
      <c r="T46" s="1"/>
      <c r="U46" s="1"/>
      <c r="V46" s="1"/>
    </row>
    <row r="47" spans="2:22" ht="15.65" customHeight="1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1"/>
      <c r="T47" s="1"/>
      <c r="U47" s="1"/>
      <c r="V47" s="1"/>
    </row>
    <row r="48" spans="2:22" ht="15.65" customHeight="1"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1"/>
      <c r="T48" s="1"/>
      <c r="U48" s="1"/>
      <c r="V48" s="1"/>
    </row>
    <row r="49" spans="2:22" ht="15.65" customHeight="1"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1"/>
      <c r="T49" s="1"/>
      <c r="U49" s="1"/>
      <c r="V49" s="1"/>
    </row>
    <row r="50" spans="2:22" ht="15.65" customHeight="1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1"/>
      <c r="T50" s="1"/>
      <c r="U50" s="1"/>
      <c r="V50" s="1"/>
    </row>
    <row r="51" spans="2:22" ht="15.65" customHeight="1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1"/>
      <c r="T51" s="1"/>
      <c r="U51" s="1"/>
      <c r="V51" s="1"/>
    </row>
    <row r="52" spans="2:22" ht="15.65" customHeight="1"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1"/>
      <c r="T52" s="1"/>
      <c r="U52" s="1"/>
      <c r="V52" s="1"/>
    </row>
    <row r="53" spans="2:22" ht="15.65" customHeight="1"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1"/>
      <c r="T53" s="1"/>
      <c r="U53" s="1"/>
      <c r="V53" s="1"/>
    </row>
    <row r="54" spans="2:22" ht="15.65" customHeight="1"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1"/>
      <c r="T54" s="1"/>
      <c r="U54" s="1"/>
      <c r="V54" s="1"/>
    </row>
    <row r="55" spans="2:22" ht="15.65" customHeight="1"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1"/>
      <c r="T55" s="1"/>
      <c r="U55" s="1"/>
      <c r="V55" s="1"/>
    </row>
    <row r="56" spans="2:22" ht="15.65" customHeight="1"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1"/>
      <c r="T56" s="1"/>
      <c r="U56" s="1"/>
      <c r="V56" s="1"/>
    </row>
    <row r="57" spans="2:22" ht="15.65" customHeight="1"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1"/>
      <c r="T57" s="1"/>
      <c r="U57" s="1"/>
      <c r="V57" s="1"/>
    </row>
    <row r="58" spans="2:22" ht="15.65" customHeight="1"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1"/>
      <c r="T58" s="1"/>
      <c r="U58" s="1"/>
      <c r="V58" s="1"/>
    </row>
    <row r="59" spans="2:22" ht="15.65" customHeight="1"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1"/>
      <c r="T59" s="1"/>
      <c r="U59" s="1"/>
      <c r="V59" s="1"/>
    </row>
    <row r="60" spans="2:22" ht="15.65" customHeight="1"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1"/>
      <c r="T60" s="1"/>
      <c r="U60" s="1"/>
      <c r="V60" s="1"/>
    </row>
    <row r="61" spans="2:22" ht="15.65" customHeight="1"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1"/>
      <c r="T61" s="1"/>
      <c r="U61" s="1"/>
      <c r="V61" s="1"/>
    </row>
    <row r="62" spans="2:22" ht="15.65" customHeight="1"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1"/>
      <c r="T62" s="1"/>
      <c r="U62" s="1"/>
      <c r="V62" s="1"/>
    </row>
    <row r="63" spans="2:22" ht="15.65" customHeight="1"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1"/>
      <c r="T63" s="1"/>
      <c r="U63" s="1"/>
      <c r="V63" s="1"/>
    </row>
    <row r="64" spans="2:22" ht="15.65" customHeight="1"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1"/>
      <c r="T64" s="1"/>
      <c r="U64" s="1"/>
      <c r="V64" s="1"/>
    </row>
    <row r="65" spans="2:22" ht="15.65" customHeight="1"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1"/>
      <c r="T65" s="1"/>
      <c r="U65" s="1"/>
      <c r="V65" s="1"/>
    </row>
    <row r="66" spans="2:22" ht="15.65" customHeight="1"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1"/>
      <c r="T66" s="1"/>
      <c r="U66" s="1"/>
      <c r="V66" s="1"/>
    </row>
    <row r="67" spans="2:22" ht="15.65" customHeight="1"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1"/>
      <c r="T67" s="1"/>
      <c r="U67" s="1"/>
      <c r="V67" s="1"/>
    </row>
    <row r="68" spans="2:22" ht="15.65" customHeight="1"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1"/>
      <c r="T68" s="1"/>
      <c r="U68" s="1"/>
      <c r="V68" s="1"/>
    </row>
    <row r="69" spans="2:22" ht="15.65" customHeight="1"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1"/>
      <c r="T69" s="1"/>
      <c r="U69" s="1"/>
      <c r="V69" s="1"/>
    </row>
    <row r="70" spans="2:22" ht="15.65" customHeight="1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1"/>
      <c r="T70" s="1"/>
      <c r="U70" s="1"/>
      <c r="V70" s="1"/>
    </row>
    <row r="71" spans="2:22" ht="15.65" customHeight="1"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1"/>
      <c r="T71" s="1"/>
      <c r="U71" s="1"/>
      <c r="V71" s="1"/>
    </row>
    <row r="72" spans="2:22" ht="15.65" customHeight="1"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1"/>
      <c r="T72" s="1"/>
      <c r="U72" s="1"/>
      <c r="V72" s="1"/>
    </row>
    <row r="73" spans="2:22" ht="15.65" customHeight="1"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1"/>
      <c r="T73" s="1"/>
      <c r="U73" s="1"/>
      <c r="V73" s="1"/>
    </row>
    <row r="74" spans="2:22" ht="15.65" customHeight="1"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1"/>
      <c r="T74" s="1"/>
      <c r="U74" s="1"/>
      <c r="V74" s="1"/>
    </row>
    <row r="75" spans="2:22" ht="15.65" customHeight="1"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1"/>
      <c r="T75" s="1"/>
      <c r="U75" s="1"/>
      <c r="V75" s="1"/>
    </row>
    <row r="76" spans="2:22" ht="15.65" customHeight="1"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1"/>
      <c r="T76" s="1"/>
      <c r="U76" s="1"/>
      <c r="V76" s="1"/>
    </row>
    <row r="77" spans="2:22" ht="15.65" customHeight="1"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1"/>
      <c r="T77" s="1"/>
      <c r="U77" s="1"/>
      <c r="V77" s="1"/>
    </row>
    <row r="78" spans="2:22" ht="15.65" customHeight="1"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1"/>
      <c r="T78" s="1"/>
      <c r="U78" s="1"/>
      <c r="V78" s="1"/>
    </row>
    <row r="79" spans="2:22" ht="15.65" customHeight="1"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1"/>
      <c r="T79" s="1"/>
      <c r="U79" s="1"/>
      <c r="V79" s="1"/>
    </row>
    <row r="80" spans="2:22" ht="15.65" customHeight="1"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1"/>
      <c r="T80" s="1"/>
      <c r="U80" s="1"/>
      <c r="V80" s="1"/>
    </row>
    <row r="81" spans="2:22" ht="15.65" customHeight="1"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1"/>
      <c r="T81" s="1"/>
      <c r="U81" s="1"/>
      <c r="V81" s="1"/>
    </row>
    <row r="82" spans="2:22" ht="15.65" customHeight="1"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1"/>
      <c r="T82" s="1"/>
      <c r="U82" s="1"/>
      <c r="V82" s="1"/>
    </row>
    <row r="83" spans="2:22" ht="15.65" customHeight="1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1"/>
      <c r="T83" s="1"/>
      <c r="U83" s="1"/>
      <c r="V83" s="1"/>
    </row>
    <row r="84" spans="2:22" ht="15.65" customHeight="1"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1"/>
      <c r="T84" s="1"/>
      <c r="U84" s="1"/>
      <c r="V84" s="1"/>
    </row>
    <row r="85" spans="2:22" ht="15.65" customHeight="1"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1"/>
      <c r="T85" s="1"/>
      <c r="U85" s="1"/>
      <c r="V85" s="1"/>
    </row>
    <row r="86" spans="2:22" ht="15.65" customHeight="1"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1"/>
      <c r="T86" s="1"/>
      <c r="U86" s="1"/>
      <c r="V86" s="1"/>
    </row>
    <row r="87" spans="2:22" ht="15.65" customHeight="1"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1"/>
      <c r="T87" s="1"/>
      <c r="U87" s="1"/>
      <c r="V87" s="1"/>
    </row>
    <row r="88" spans="2:22" ht="15.65" customHeight="1"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1"/>
      <c r="T88" s="1"/>
      <c r="U88" s="1"/>
      <c r="V88" s="1"/>
    </row>
    <row r="89" spans="2:22" ht="15.65" customHeight="1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1"/>
      <c r="T89" s="1"/>
      <c r="U89" s="1"/>
      <c r="V89" s="1"/>
    </row>
    <row r="90" spans="2:22" ht="15.65" customHeight="1"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1"/>
      <c r="T90" s="1"/>
      <c r="U90" s="1"/>
      <c r="V90" s="1"/>
    </row>
    <row r="91" spans="2:22" ht="15.65" customHeight="1"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1"/>
      <c r="T91" s="1"/>
      <c r="U91" s="1"/>
      <c r="V91" s="1"/>
    </row>
    <row r="92" spans="2:22" ht="15.5">
      <c r="B92" s="6"/>
      <c r="C92" s="6"/>
      <c r="D92" s="23"/>
      <c r="E92" s="23"/>
      <c r="F92" s="6"/>
      <c r="G92" s="6"/>
      <c r="H92" s="23"/>
      <c r="I92" s="23"/>
      <c r="J92" s="23"/>
      <c r="K92" s="23"/>
      <c r="L92" s="6"/>
      <c r="M92" s="6"/>
      <c r="N92" s="6"/>
      <c r="O92" s="6"/>
      <c r="P92" s="6"/>
      <c r="Q92" s="6"/>
      <c r="R92" s="1"/>
      <c r="S92" s="1"/>
      <c r="T92" s="1"/>
      <c r="U92" s="1"/>
      <c r="V92" s="1"/>
    </row>
    <row r="93" spans="2:22" ht="15.5">
      <c r="B93" s="6" t="s">
        <v>29</v>
      </c>
      <c r="C93" s="6"/>
      <c r="D93" s="23"/>
      <c r="E93" s="23"/>
      <c r="F93" s="6"/>
      <c r="G93" s="6"/>
      <c r="H93" s="23"/>
      <c r="I93" s="23"/>
      <c r="J93" s="23"/>
      <c r="K93" s="23"/>
      <c r="L93" s="6"/>
      <c r="M93" s="6"/>
      <c r="N93" s="6"/>
      <c r="O93" s="6"/>
      <c r="P93" s="6"/>
      <c r="Q93" s="6"/>
      <c r="R93" s="1"/>
      <c r="S93" s="1"/>
      <c r="T93" s="1"/>
      <c r="U93" s="1"/>
      <c r="V93" s="1"/>
    </row>
    <row r="94" spans="2:22" ht="15.5">
      <c r="B94" s="6" t="s">
        <v>15</v>
      </c>
      <c r="C94" s="6"/>
      <c r="D94" s="23"/>
      <c r="E94" s="23"/>
      <c r="F94" s="6"/>
      <c r="G94" s="6"/>
      <c r="H94" s="23"/>
      <c r="I94" s="23"/>
      <c r="J94" s="23"/>
      <c r="K94" s="23"/>
      <c r="L94" s="6"/>
      <c r="M94" s="6"/>
      <c r="N94" s="6"/>
      <c r="O94" s="6"/>
      <c r="P94" s="6"/>
      <c r="Q94" s="6"/>
      <c r="R94" s="1"/>
      <c r="S94" s="1"/>
      <c r="T94" s="1"/>
      <c r="U94" s="1"/>
      <c r="V94" s="1"/>
    </row>
    <row r="95" spans="2:22" ht="15.5">
      <c r="B95" s="7" t="s">
        <v>16</v>
      </c>
      <c r="C95" s="6" t="s">
        <v>30</v>
      </c>
      <c r="D95" s="23"/>
      <c r="E95" s="23"/>
      <c r="F95" s="6"/>
      <c r="G95" s="6"/>
      <c r="H95" s="23"/>
      <c r="I95" s="23"/>
      <c r="J95" s="23"/>
      <c r="K95" s="23"/>
      <c r="L95" s="6"/>
      <c r="M95" s="6"/>
      <c r="N95" s="6"/>
      <c r="O95" s="6"/>
      <c r="P95" s="6"/>
      <c r="Q95" s="6"/>
      <c r="R95" s="1"/>
      <c r="S95" s="1"/>
      <c r="T95" s="1"/>
      <c r="U95" s="1"/>
      <c r="V95" s="1"/>
    </row>
    <row r="96" spans="2:22" ht="15.5">
      <c r="B96" s="7"/>
      <c r="C96" s="6" t="s">
        <v>35</v>
      </c>
      <c r="D96" s="23"/>
      <c r="E96" s="23"/>
      <c r="F96" s="6"/>
      <c r="G96" s="6"/>
      <c r="H96" s="23"/>
      <c r="I96" s="23"/>
      <c r="J96" s="23"/>
      <c r="K96" s="23"/>
      <c r="L96" s="6"/>
      <c r="M96" s="6"/>
      <c r="N96" s="6"/>
      <c r="O96" s="6"/>
      <c r="P96" s="6"/>
      <c r="Q96" s="6"/>
      <c r="R96" s="1"/>
      <c r="S96" s="1"/>
      <c r="T96" s="1"/>
      <c r="U96" s="1"/>
      <c r="V96" s="1"/>
    </row>
    <row r="97" spans="2:22" ht="15.5">
      <c r="B97" s="7" t="s">
        <v>17</v>
      </c>
      <c r="C97" s="6" t="s">
        <v>31</v>
      </c>
      <c r="D97" s="23"/>
      <c r="E97" s="23"/>
      <c r="F97" s="6"/>
      <c r="G97" s="6"/>
      <c r="H97" s="23"/>
      <c r="I97" s="23"/>
      <c r="J97" s="23"/>
      <c r="K97" s="23"/>
      <c r="L97" s="6"/>
      <c r="M97" s="6"/>
      <c r="N97" s="6"/>
      <c r="O97" s="6"/>
      <c r="P97" s="6"/>
      <c r="Q97" s="6"/>
      <c r="R97" s="1"/>
      <c r="S97" s="1"/>
      <c r="T97" s="1"/>
      <c r="U97" s="1"/>
      <c r="V97" s="1"/>
    </row>
    <row r="98" spans="2:22" ht="15.5">
      <c r="B98" s="6"/>
      <c r="C98" s="6" t="s">
        <v>35</v>
      </c>
      <c r="D98" s="23"/>
      <c r="E98" s="23"/>
      <c r="F98" s="6"/>
      <c r="G98" s="6"/>
      <c r="H98" s="23"/>
      <c r="I98" s="23"/>
      <c r="J98" s="23"/>
      <c r="K98" s="23"/>
      <c r="L98" s="6"/>
      <c r="M98" s="6"/>
      <c r="N98" s="6"/>
      <c r="O98" s="6"/>
      <c r="P98" s="6"/>
      <c r="Q98" s="6"/>
      <c r="R98" s="1"/>
      <c r="S98" s="1"/>
      <c r="T98" s="1"/>
      <c r="U98" s="1"/>
      <c r="V98" s="1"/>
    </row>
    <row r="99" spans="2:22" ht="15.5">
      <c r="B99" s="1"/>
      <c r="C99" s="1"/>
      <c r="D99" s="4"/>
      <c r="E99" s="4"/>
      <c r="F99" s="1"/>
      <c r="G99" s="1"/>
      <c r="H99" s="4"/>
      <c r="I99" s="4"/>
      <c r="J99" s="4"/>
      <c r="K99" s="4"/>
      <c r="L99" s="4"/>
      <c r="M99" s="4"/>
      <c r="N99" s="1"/>
      <c r="O99" s="1"/>
      <c r="P99" s="1"/>
      <c r="Q99" s="1"/>
      <c r="R99" s="1"/>
      <c r="S99" s="1"/>
      <c r="T99" s="1"/>
      <c r="U99" s="1"/>
      <c r="V99" s="1"/>
    </row>
    <row r="100" spans="2:22" ht="15.5">
      <c r="B100" s="1"/>
      <c r="C100" s="1"/>
      <c r="D100" s="4"/>
      <c r="E100" s="4"/>
      <c r="F100" s="1"/>
      <c r="G100" s="1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</row>
    <row r="101" spans="2:22" ht="15.5">
      <c r="B101" s="1"/>
      <c r="C101" s="1"/>
      <c r="D101" s="4"/>
      <c r="E101" s="4"/>
      <c r="F101" s="1"/>
      <c r="G101" s="1"/>
      <c r="H101" s="4"/>
      <c r="I101" s="4" t="s">
        <v>27</v>
      </c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</row>
    <row r="102" spans="2:22" ht="15.5">
      <c r="B102" s="1"/>
      <c r="C102" s="1"/>
      <c r="D102" s="4"/>
      <c r="E102" s="4"/>
      <c r="F102" s="1"/>
      <c r="G102" s="1"/>
      <c r="H102" s="4"/>
      <c r="I102" s="4"/>
      <c r="J102" s="4"/>
      <c r="K102" s="4"/>
      <c r="L102" s="4"/>
      <c r="M102" s="4"/>
      <c r="N102" s="1"/>
      <c r="O102" s="1"/>
      <c r="P102" s="1"/>
      <c r="Q102" s="1"/>
      <c r="R102" s="1"/>
      <c r="S102" s="1"/>
      <c r="T102" s="1"/>
      <c r="U102" s="1"/>
      <c r="V102" s="1"/>
    </row>
    <row r="103" spans="2:22" ht="15.5">
      <c r="B103" s="1"/>
      <c r="C103" s="1"/>
      <c r="D103" s="4"/>
      <c r="E103" s="4"/>
      <c r="F103" s="1"/>
      <c r="G103" s="1"/>
      <c r="H103" s="4"/>
      <c r="I103" s="4"/>
      <c r="J103" s="4"/>
      <c r="K103" s="4"/>
      <c r="L103" s="4"/>
      <c r="M103" s="4"/>
      <c r="N103" s="1"/>
      <c r="O103" s="1"/>
      <c r="P103" s="1"/>
      <c r="Q103" s="1"/>
      <c r="R103" s="1"/>
      <c r="S103" s="1"/>
      <c r="T103" s="1"/>
      <c r="U103" s="1"/>
      <c r="V103" s="1"/>
    </row>
    <row r="104" spans="2:22" ht="15.5">
      <c r="B104" s="1"/>
      <c r="C104" s="1"/>
      <c r="D104" s="4"/>
      <c r="E104" s="4"/>
      <c r="F104" s="1"/>
      <c r="G104" s="1"/>
      <c r="H104" s="4"/>
      <c r="I104" s="4"/>
      <c r="J104" s="4"/>
      <c r="K104" s="4"/>
      <c r="L104" s="4"/>
      <c r="M104" s="4"/>
      <c r="N104" s="1"/>
      <c r="O104" s="1"/>
      <c r="P104" s="1"/>
      <c r="Q104" s="1"/>
      <c r="R104" s="1"/>
      <c r="S104" s="1"/>
      <c r="T104" s="1"/>
      <c r="U104" s="1"/>
      <c r="V104" s="1"/>
    </row>
    <row r="105" spans="2:22" ht="15.5">
      <c r="B105" s="1"/>
      <c r="C105" s="1"/>
      <c r="D105" s="4"/>
      <c r="E105" s="4"/>
      <c r="F105" s="1"/>
      <c r="G105" s="1"/>
      <c r="H105" s="4"/>
      <c r="I105" s="4"/>
      <c r="J105" s="4"/>
      <c r="K105" s="4"/>
      <c r="L105" s="4"/>
      <c r="M105" s="4"/>
      <c r="N105" s="1"/>
      <c r="O105" s="1"/>
      <c r="P105" s="1"/>
      <c r="Q105" s="1"/>
      <c r="R105" s="1"/>
      <c r="S105" s="1"/>
      <c r="T105" s="1"/>
      <c r="U105" s="1"/>
      <c r="V105" s="1"/>
    </row>
    <row r="106" spans="2:22" ht="15.5">
      <c r="B106" s="1"/>
      <c r="C106" s="1"/>
      <c r="D106" s="4"/>
      <c r="E106" s="4"/>
      <c r="F106" s="1"/>
      <c r="G106" s="1"/>
      <c r="H106" s="4"/>
      <c r="I106" s="4"/>
      <c r="J106" s="4"/>
      <c r="K106" s="4"/>
      <c r="L106" s="4"/>
      <c r="M106" s="4"/>
      <c r="N106" s="1"/>
      <c r="O106" s="1"/>
      <c r="P106" s="1"/>
      <c r="Q106" s="1"/>
      <c r="R106" s="1"/>
      <c r="S106" s="1"/>
      <c r="T106" s="1"/>
      <c r="U106" s="1"/>
      <c r="V106" s="1"/>
    </row>
    <row r="107" spans="2:22" ht="15.5">
      <c r="B107" s="1"/>
      <c r="C107" s="1"/>
      <c r="D107" s="4"/>
      <c r="E107" s="4"/>
      <c r="F107" s="1"/>
      <c r="G107" s="1"/>
      <c r="H107" s="4"/>
      <c r="I107" s="4"/>
      <c r="J107" s="4"/>
      <c r="K107" s="4"/>
      <c r="L107" s="4"/>
      <c r="M107" s="4"/>
      <c r="N107" s="1"/>
      <c r="O107" s="1"/>
      <c r="P107" s="1"/>
      <c r="Q107" s="1"/>
      <c r="R107" s="1"/>
      <c r="S107" s="1"/>
      <c r="T107" s="1"/>
      <c r="U107" s="1"/>
      <c r="V107" s="1"/>
    </row>
    <row r="108" spans="2:22" ht="15.5">
      <c r="B108" s="1"/>
      <c r="C108" s="1"/>
      <c r="D108" s="4"/>
      <c r="E108" s="4"/>
      <c r="F108" s="1"/>
      <c r="G108" s="1"/>
      <c r="H108" s="4"/>
      <c r="I108" s="4"/>
      <c r="J108" s="4"/>
      <c r="K108" s="4"/>
      <c r="L108" s="4"/>
      <c r="M108" s="4"/>
      <c r="N108" s="1"/>
      <c r="O108" s="1"/>
      <c r="P108" s="1"/>
      <c r="Q108" s="1"/>
      <c r="R108" s="1"/>
      <c r="S108" s="1"/>
      <c r="T108" s="1"/>
      <c r="U108" s="1"/>
      <c r="V108" s="1"/>
    </row>
    <row r="109" spans="2:22" ht="15.5">
      <c r="B109" s="1"/>
      <c r="C109" s="1"/>
      <c r="D109" s="4"/>
      <c r="E109" s="4"/>
      <c r="F109" s="1"/>
      <c r="G109" s="1"/>
      <c r="H109" s="4"/>
      <c r="I109" s="4"/>
      <c r="J109" s="4"/>
      <c r="K109" s="4"/>
      <c r="L109" s="4"/>
      <c r="M109" s="4"/>
      <c r="N109" s="1"/>
      <c r="O109" s="1"/>
      <c r="P109" s="1"/>
      <c r="Q109" s="1"/>
      <c r="R109" s="1"/>
      <c r="S109" s="1"/>
      <c r="T109" s="1"/>
      <c r="U109" s="1"/>
      <c r="V109" s="1"/>
    </row>
    <row r="110" spans="2:22" ht="15.5">
      <c r="B110" s="1"/>
      <c r="C110" s="1"/>
      <c r="D110" s="4"/>
      <c r="E110" s="4"/>
      <c r="F110" s="1"/>
      <c r="G110" s="1"/>
      <c r="H110" s="4"/>
      <c r="I110" s="4"/>
      <c r="J110" s="4"/>
      <c r="K110" s="4"/>
      <c r="L110" s="4"/>
      <c r="M110" s="4"/>
      <c r="N110" s="1"/>
      <c r="O110" s="1"/>
      <c r="P110" s="1"/>
      <c r="Q110" s="1"/>
      <c r="R110" s="1"/>
      <c r="S110" s="1"/>
      <c r="T110" s="1"/>
      <c r="U110" s="1"/>
      <c r="V110" s="1"/>
    </row>
    <row r="111" spans="2:22" ht="15.5">
      <c r="B111" s="1"/>
      <c r="C111" s="1"/>
      <c r="D111" s="4"/>
      <c r="E111" s="4"/>
      <c r="F111" s="1"/>
      <c r="G111" s="1"/>
      <c r="H111" s="4"/>
      <c r="I111" s="4"/>
      <c r="J111" s="4"/>
      <c r="K111" s="4"/>
      <c r="L111" s="4"/>
      <c r="M111" s="4"/>
      <c r="N111" s="1"/>
      <c r="O111" s="1"/>
      <c r="P111" s="1"/>
      <c r="Q111" s="1"/>
      <c r="R111" s="1"/>
      <c r="S111" s="1"/>
      <c r="T111" s="1"/>
      <c r="U111" s="1"/>
      <c r="V111" s="1"/>
    </row>
    <row r="112" spans="2:22" ht="15.5">
      <c r="B112" s="1"/>
      <c r="C112" s="1"/>
      <c r="D112" s="4"/>
      <c r="E112" s="4"/>
      <c r="F112" s="1"/>
      <c r="G112" s="1"/>
      <c r="H112" s="4"/>
      <c r="I112" s="4"/>
      <c r="J112" s="4"/>
      <c r="K112" s="4"/>
      <c r="L112" s="4"/>
      <c r="M112" s="4"/>
      <c r="N112" s="1"/>
      <c r="O112" s="1"/>
      <c r="P112" s="1"/>
      <c r="Q112" s="1"/>
      <c r="R112" s="1"/>
      <c r="S112" s="1"/>
      <c r="T112" s="1"/>
      <c r="U112" s="1"/>
      <c r="V112" s="1"/>
    </row>
    <row r="113" spans="2:22" ht="15.5">
      <c r="B113" s="1"/>
      <c r="C113" s="1"/>
      <c r="D113" s="4"/>
      <c r="E113" s="4"/>
      <c r="F113" s="1"/>
      <c r="G113" s="1"/>
      <c r="H113" s="4"/>
      <c r="I113" s="4"/>
      <c r="J113" s="4"/>
      <c r="K113" s="4"/>
      <c r="L113" s="4"/>
      <c r="M113" s="4"/>
      <c r="N113" s="1"/>
      <c r="O113" s="1"/>
      <c r="P113" s="1"/>
      <c r="Q113" s="1"/>
      <c r="R113" s="1"/>
      <c r="S113" s="1"/>
      <c r="T113" s="1"/>
      <c r="U113" s="1"/>
      <c r="V113" s="1"/>
    </row>
    <row r="114" spans="2:22" ht="15.5">
      <c r="B114" s="1"/>
      <c r="C114" s="1"/>
      <c r="D114" s="4"/>
      <c r="E114" s="4"/>
      <c r="F114" s="1"/>
      <c r="G114" s="1"/>
      <c r="H114" s="4"/>
      <c r="I114" s="4"/>
      <c r="J114" s="4"/>
      <c r="K114" s="4"/>
      <c r="L114" s="4"/>
      <c r="M114" s="4"/>
      <c r="N114" s="1"/>
      <c r="O114" s="1"/>
      <c r="P114" s="1"/>
      <c r="Q114" s="1"/>
      <c r="R114" s="1"/>
      <c r="S114" s="1"/>
      <c r="T114" s="1"/>
      <c r="U114" s="1"/>
      <c r="V114" s="1"/>
    </row>
    <row r="115" spans="2:22" ht="15.5">
      <c r="B115" s="1"/>
      <c r="C115" s="1"/>
      <c r="D115" s="4"/>
      <c r="E115" s="4"/>
      <c r="F115" s="1"/>
      <c r="G115" s="1"/>
      <c r="H115" s="4"/>
      <c r="I115" s="4"/>
      <c r="J115" s="4"/>
      <c r="K115" s="4"/>
      <c r="L115" s="4"/>
      <c r="M115" s="4"/>
      <c r="N115" s="1"/>
      <c r="O115" s="1"/>
      <c r="P115" s="1"/>
      <c r="Q115" s="1"/>
      <c r="R115" s="1"/>
      <c r="S115" s="1"/>
      <c r="T115" s="1"/>
      <c r="U115" s="1"/>
      <c r="V115" s="1"/>
    </row>
    <row r="116" spans="2:22" ht="15.5">
      <c r="B116" s="1"/>
      <c r="C116" s="1"/>
      <c r="D116" s="4"/>
      <c r="E116" s="4"/>
      <c r="F116" s="1"/>
      <c r="G116" s="1"/>
      <c r="H116" s="4"/>
      <c r="I116" s="4"/>
      <c r="J116" s="4"/>
      <c r="K116" s="4"/>
      <c r="L116" s="4"/>
      <c r="M116" s="4"/>
      <c r="N116" s="1"/>
      <c r="O116" s="1"/>
      <c r="P116" s="1"/>
      <c r="Q116" s="1"/>
      <c r="R116" s="1"/>
      <c r="S116" s="1"/>
      <c r="T116" s="1"/>
      <c r="U116" s="1"/>
      <c r="V116" s="1"/>
    </row>
    <row r="117" spans="2:22" ht="15.5">
      <c r="B117" s="1"/>
      <c r="C117" s="1"/>
      <c r="D117" s="4"/>
      <c r="E117" s="4"/>
      <c r="F117" s="1"/>
      <c r="G117" s="1"/>
      <c r="H117" s="4"/>
      <c r="I117" s="4"/>
      <c r="J117" s="4"/>
      <c r="K117" s="4"/>
      <c r="L117" s="4"/>
      <c r="M117" s="4"/>
      <c r="N117" s="1"/>
      <c r="O117" s="1"/>
      <c r="P117" s="1"/>
      <c r="Q117" s="1"/>
      <c r="R117" s="1"/>
      <c r="S117" s="1"/>
      <c r="T117" s="1"/>
      <c r="U117" s="1"/>
      <c r="V117" s="1"/>
    </row>
    <row r="118" spans="2:22" ht="15.5">
      <c r="B118" s="1"/>
      <c r="C118" s="1"/>
      <c r="D118" s="4"/>
      <c r="E118" s="4"/>
      <c r="F118" s="1"/>
      <c r="G118" s="1"/>
      <c r="H118" s="4"/>
      <c r="I118" s="4"/>
      <c r="J118" s="4"/>
      <c r="K118" s="4"/>
      <c r="L118" s="4"/>
      <c r="M118" s="4"/>
      <c r="N118" s="1"/>
      <c r="O118" s="1"/>
      <c r="P118" s="1"/>
      <c r="Q118" s="1"/>
      <c r="R118" s="1"/>
      <c r="S118" s="1"/>
      <c r="T118" s="1"/>
      <c r="U118" s="1"/>
      <c r="V118" s="1"/>
    </row>
    <row r="119" spans="2:22" ht="15.5">
      <c r="B119" s="1"/>
      <c r="C119" s="1"/>
      <c r="D119" s="4"/>
      <c r="E119" s="4"/>
      <c r="F119" s="1"/>
      <c r="G119" s="1"/>
      <c r="H119" s="4"/>
      <c r="I119" s="4"/>
      <c r="J119" s="4"/>
      <c r="K119" s="4"/>
      <c r="L119" s="4"/>
      <c r="M119" s="4"/>
      <c r="N119" s="1"/>
      <c r="O119" s="1"/>
      <c r="P119" s="1"/>
      <c r="Q119" s="1"/>
      <c r="R119" s="1"/>
      <c r="S119" s="1"/>
      <c r="T119" s="1"/>
      <c r="U119" s="1"/>
      <c r="V119" s="1"/>
    </row>
    <row r="120" spans="2:22" ht="15.5">
      <c r="B120" s="1"/>
      <c r="C120" s="1"/>
      <c r="D120" s="4"/>
      <c r="E120" s="4"/>
      <c r="F120" s="1"/>
      <c r="G120" s="1"/>
      <c r="H120" s="4"/>
      <c r="I120" s="4"/>
      <c r="J120" s="4"/>
      <c r="K120" s="4"/>
      <c r="L120" s="4"/>
      <c r="M120" s="4"/>
      <c r="N120" s="1"/>
      <c r="O120" s="1"/>
      <c r="P120" s="1"/>
      <c r="Q120" s="1"/>
      <c r="R120" s="1"/>
      <c r="S120" s="1"/>
      <c r="T120" s="1"/>
      <c r="U120" s="1"/>
      <c r="V120" s="1"/>
    </row>
    <row r="121" spans="2:22" ht="15.5">
      <c r="B121" s="1"/>
      <c r="C121" s="1"/>
      <c r="D121" s="4"/>
      <c r="E121" s="4"/>
      <c r="F121" s="1"/>
      <c r="G121" s="1"/>
      <c r="H121" s="4"/>
      <c r="I121" s="4"/>
      <c r="J121" s="4"/>
      <c r="K121" s="4"/>
      <c r="L121" s="4"/>
      <c r="M121" s="4"/>
      <c r="N121" s="1"/>
      <c r="O121" s="1"/>
      <c r="P121" s="1"/>
      <c r="Q121" s="1"/>
      <c r="R121" s="1"/>
      <c r="S121" s="1"/>
      <c r="T121" s="1"/>
      <c r="U121" s="1"/>
      <c r="V121" s="1"/>
    </row>
    <row r="122" spans="2:22" ht="15.5">
      <c r="B122" s="1"/>
      <c r="C122" s="1"/>
      <c r="D122" s="4"/>
      <c r="E122" s="4"/>
      <c r="F122" s="1"/>
      <c r="G122" s="1"/>
      <c r="H122" s="4"/>
      <c r="I122" s="4"/>
      <c r="J122" s="4"/>
      <c r="K122" s="4"/>
      <c r="L122" s="4"/>
      <c r="M122" s="4"/>
      <c r="N122" s="1"/>
      <c r="O122" s="1"/>
      <c r="P122" s="1"/>
      <c r="Q122" s="1"/>
      <c r="R122" s="1"/>
      <c r="S122" s="1"/>
      <c r="T122" s="1"/>
      <c r="U122" s="1"/>
      <c r="V122" s="1"/>
    </row>
    <row r="123" spans="2:22" ht="15.5">
      <c r="B123" s="1"/>
      <c r="C123" s="1"/>
      <c r="D123" s="4"/>
      <c r="E123" s="4"/>
      <c r="F123" s="1"/>
      <c r="G123" s="1"/>
      <c r="H123" s="4"/>
      <c r="I123" s="4"/>
      <c r="J123" s="4"/>
      <c r="K123" s="4"/>
      <c r="L123" s="4"/>
      <c r="M123" s="4"/>
      <c r="N123" s="1"/>
      <c r="O123" s="1"/>
      <c r="P123" s="1"/>
      <c r="Q123" s="1"/>
      <c r="R123" s="1"/>
      <c r="S123" s="1"/>
      <c r="T123" s="1"/>
      <c r="U123" s="1"/>
      <c r="V123" s="1"/>
    </row>
    <row r="124" spans="2:22" ht="15.5">
      <c r="B124" s="1"/>
      <c r="C124" s="1"/>
      <c r="D124" s="4"/>
      <c r="E124" s="4"/>
      <c r="F124" s="1"/>
      <c r="G124" s="1"/>
      <c r="H124" s="4"/>
      <c r="I124" s="4"/>
      <c r="J124" s="4"/>
      <c r="K124" s="4"/>
      <c r="L124" s="4"/>
      <c r="M124" s="4"/>
      <c r="N124" s="1"/>
      <c r="O124" s="1"/>
      <c r="P124" s="1"/>
      <c r="Q124" s="1"/>
      <c r="R124" s="1"/>
      <c r="S124" s="1"/>
      <c r="T124" s="1"/>
      <c r="U124" s="1"/>
      <c r="V124" s="1"/>
    </row>
    <row r="125" spans="2:22" ht="15.5">
      <c r="B125" s="1"/>
      <c r="C125" s="1"/>
      <c r="D125" s="4"/>
      <c r="E125" s="4"/>
      <c r="F125" s="1"/>
      <c r="G125" s="1"/>
      <c r="H125" s="4"/>
      <c r="I125" s="4"/>
      <c r="J125" s="4"/>
      <c r="K125" s="4"/>
      <c r="L125" s="4"/>
      <c r="M125" s="4"/>
      <c r="N125" s="1"/>
      <c r="O125" s="1"/>
      <c r="P125" s="1"/>
      <c r="Q125" s="1"/>
      <c r="R125" s="1"/>
      <c r="S125" s="1"/>
      <c r="T125" s="1"/>
      <c r="U125" s="1"/>
      <c r="V125" s="1"/>
    </row>
    <row r="126" spans="2:22" ht="15.5">
      <c r="B126" s="1"/>
      <c r="C126" s="1"/>
      <c r="D126" s="4"/>
      <c r="E126" s="4"/>
      <c r="F126" s="1"/>
      <c r="G126" s="1"/>
      <c r="H126" s="4"/>
      <c r="I126" s="4"/>
      <c r="J126" s="4"/>
      <c r="K126" s="4"/>
      <c r="L126" s="4"/>
      <c r="M126" s="4"/>
      <c r="N126" s="1"/>
      <c r="O126" s="1"/>
      <c r="P126" s="1"/>
      <c r="Q126" s="1"/>
      <c r="R126" s="1"/>
      <c r="S126" s="1"/>
      <c r="T126" s="1"/>
      <c r="U126" s="1"/>
      <c r="V126" s="1"/>
    </row>
    <row r="127" spans="2:22" ht="15.5">
      <c r="B127" s="1"/>
      <c r="C127" s="1"/>
      <c r="D127" s="4"/>
      <c r="E127" s="4"/>
      <c r="F127" s="1"/>
      <c r="G127" s="1"/>
      <c r="H127" s="4"/>
      <c r="I127" s="4"/>
      <c r="J127" s="4"/>
      <c r="K127" s="4"/>
      <c r="L127" s="4"/>
      <c r="M127" s="4"/>
      <c r="N127" s="1"/>
      <c r="O127" s="1"/>
      <c r="P127" s="1"/>
      <c r="Q127" s="1"/>
      <c r="R127" s="1"/>
      <c r="S127" s="1"/>
      <c r="T127" s="1"/>
      <c r="U127" s="1"/>
      <c r="V127" s="1"/>
    </row>
    <row r="128" spans="2:22" ht="15.5">
      <c r="B128" s="1"/>
      <c r="C128" s="1"/>
      <c r="D128" s="4"/>
      <c r="E128" s="4"/>
      <c r="F128" s="1"/>
      <c r="G128" s="1"/>
      <c r="H128" s="4"/>
      <c r="I128" s="4"/>
      <c r="J128" s="4"/>
      <c r="K128" s="4"/>
      <c r="L128" s="4"/>
      <c r="M128" s="4"/>
      <c r="N128" s="1"/>
      <c r="O128" s="1"/>
      <c r="P128" s="1"/>
      <c r="Q128" s="1"/>
      <c r="R128" s="1"/>
      <c r="S128" s="1"/>
      <c r="T128" s="1"/>
      <c r="U128" s="1"/>
      <c r="V128" s="1"/>
    </row>
    <row r="129" spans="2:22" ht="15.5">
      <c r="B129" s="1"/>
      <c r="C129" s="1"/>
      <c r="D129" s="4"/>
      <c r="E129" s="4"/>
      <c r="F129" s="1"/>
      <c r="G129" s="1"/>
      <c r="H129" s="4"/>
      <c r="I129" s="4"/>
      <c r="J129" s="4"/>
      <c r="K129" s="4"/>
      <c r="L129" s="4"/>
      <c r="M129" s="4"/>
      <c r="N129" s="1"/>
      <c r="O129" s="1"/>
      <c r="P129" s="1"/>
      <c r="Q129" s="1"/>
      <c r="R129" s="1"/>
      <c r="S129" s="1"/>
      <c r="T129" s="1"/>
      <c r="U129" s="1"/>
      <c r="V129" s="1"/>
    </row>
    <row r="130" spans="2:22" ht="15.5">
      <c r="B130" s="1"/>
      <c r="C130" s="1"/>
      <c r="D130" s="4"/>
      <c r="E130" s="4"/>
      <c r="F130" s="1"/>
      <c r="G130" s="1"/>
      <c r="H130" s="4"/>
      <c r="I130" s="4"/>
      <c r="J130" s="4"/>
      <c r="K130" s="4"/>
      <c r="L130" s="4"/>
      <c r="M130" s="4"/>
      <c r="N130" s="1"/>
      <c r="O130" s="1"/>
      <c r="P130" s="1"/>
      <c r="Q130" s="1"/>
      <c r="R130" s="1"/>
      <c r="S130" s="1"/>
      <c r="T130" s="1"/>
      <c r="U130" s="1"/>
      <c r="V130" s="1"/>
    </row>
    <row r="131" spans="2:22" ht="15.5">
      <c r="B131" s="1"/>
      <c r="C131" s="1"/>
      <c r="D131" s="4"/>
      <c r="E131" s="4"/>
      <c r="F131" s="1"/>
      <c r="G131" s="1"/>
      <c r="H131" s="4"/>
      <c r="I131" s="4"/>
      <c r="J131" s="4"/>
      <c r="K131" s="4"/>
      <c r="L131" s="4"/>
      <c r="M131" s="4"/>
      <c r="N131" s="1"/>
      <c r="O131" s="1"/>
      <c r="P131" s="1"/>
      <c r="Q131" s="1"/>
      <c r="R131" s="1"/>
      <c r="S131" s="1"/>
      <c r="T131" s="1"/>
      <c r="U131" s="1"/>
      <c r="V131" s="1"/>
    </row>
    <row r="132" spans="2:22" ht="15.5">
      <c r="B132" s="1"/>
      <c r="C132" s="1"/>
      <c r="D132" s="4"/>
      <c r="E132" s="4"/>
      <c r="F132" s="1"/>
      <c r="G132" s="1"/>
      <c r="H132" s="4"/>
      <c r="I132" s="4"/>
      <c r="J132" s="4"/>
      <c r="K132" s="4"/>
      <c r="L132" s="4"/>
      <c r="M132" s="4"/>
      <c r="N132" s="1"/>
      <c r="O132" s="1"/>
      <c r="P132" s="1"/>
      <c r="Q132" s="1"/>
      <c r="R132" s="1"/>
      <c r="S132" s="1"/>
      <c r="T132" s="1"/>
      <c r="U132" s="1"/>
      <c r="V132" s="1"/>
    </row>
    <row r="133" spans="2:22" ht="15.5">
      <c r="B133" s="1"/>
      <c r="C133" s="1"/>
      <c r="D133" s="4"/>
      <c r="E133" s="4"/>
      <c r="F133" s="1"/>
      <c r="G133" s="1"/>
      <c r="H133" s="4"/>
      <c r="I133" s="4"/>
      <c r="J133" s="4"/>
      <c r="K133" s="4"/>
      <c r="L133" s="4"/>
      <c r="M133" s="4"/>
      <c r="N133" s="1"/>
      <c r="O133" s="1"/>
      <c r="P133" s="1"/>
      <c r="Q133" s="1"/>
      <c r="R133" s="1"/>
      <c r="S133" s="1"/>
      <c r="T133" s="1"/>
      <c r="U133" s="1"/>
      <c r="V133" s="1"/>
    </row>
    <row r="134" spans="2:22" ht="15.5">
      <c r="B134" s="1"/>
      <c r="C134" s="1"/>
      <c r="D134" s="4"/>
      <c r="E134" s="4"/>
      <c r="F134" s="1"/>
      <c r="G134" s="1"/>
      <c r="H134" s="4"/>
      <c r="I134" s="4"/>
      <c r="J134" s="4"/>
      <c r="K134" s="4"/>
      <c r="L134" s="4"/>
      <c r="M134" s="4"/>
      <c r="N134" s="1"/>
      <c r="O134" s="1"/>
      <c r="P134" s="1"/>
      <c r="Q134" s="1"/>
      <c r="R134" s="1"/>
      <c r="S134" s="1"/>
      <c r="T134" s="1"/>
      <c r="U134" s="1"/>
      <c r="V134" s="1"/>
    </row>
    <row r="135" spans="2:22" ht="15.5">
      <c r="B135" s="1"/>
      <c r="C135" s="1"/>
      <c r="D135" s="4"/>
      <c r="E135" s="4"/>
      <c r="F135" s="1"/>
      <c r="G135" s="1"/>
      <c r="H135" s="4"/>
      <c r="I135" s="4"/>
      <c r="J135" s="4"/>
      <c r="K135" s="4"/>
      <c r="L135" s="4"/>
      <c r="M135" s="4"/>
      <c r="N135" s="1"/>
      <c r="O135" s="1"/>
      <c r="P135" s="1"/>
      <c r="Q135" s="1"/>
      <c r="R135" s="1"/>
      <c r="S135" s="1"/>
      <c r="T135" s="1"/>
      <c r="U135" s="1"/>
      <c r="V135" s="1"/>
    </row>
    <row r="136" spans="2:22" ht="15.5">
      <c r="B136" s="1"/>
      <c r="C136" s="1"/>
      <c r="D136" s="4"/>
      <c r="E136" s="4"/>
      <c r="F136" s="1"/>
      <c r="G136" s="1"/>
      <c r="H136" s="4"/>
      <c r="I136" s="4"/>
      <c r="J136" s="4"/>
      <c r="K136" s="4"/>
      <c r="L136" s="4"/>
      <c r="M136" s="4"/>
      <c r="N136" s="1"/>
      <c r="O136" s="1"/>
      <c r="P136" s="1"/>
      <c r="Q136" s="1"/>
      <c r="R136" s="1"/>
      <c r="S136" s="1"/>
      <c r="T136" s="1"/>
      <c r="U136" s="1"/>
      <c r="V136" s="1"/>
    </row>
    <row r="137" spans="2:22" ht="15.5">
      <c r="B137" s="1"/>
      <c r="C137" s="1"/>
      <c r="D137" s="4"/>
      <c r="E137" s="4"/>
      <c r="F137" s="1"/>
      <c r="G137" s="1"/>
      <c r="H137" s="4"/>
      <c r="I137" s="4"/>
      <c r="J137" s="4"/>
      <c r="K137" s="4"/>
      <c r="L137" s="4"/>
      <c r="M137" s="4"/>
      <c r="N137" s="1"/>
      <c r="O137" s="1"/>
      <c r="P137" s="1"/>
      <c r="Q137" s="1"/>
      <c r="R137" s="1"/>
      <c r="S137" s="1"/>
      <c r="T137" s="1"/>
      <c r="U137" s="1"/>
      <c r="V137" s="1"/>
    </row>
    <row r="138" spans="2:22" ht="15.5">
      <c r="B138" s="1"/>
      <c r="C138" s="1"/>
      <c r="D138" s="4"/>
      <c r="E138" s="4"/>
      <c r="F138" s="1"/>
      <c r="G138" s="1"/>
      <c r="H138" s="4"/>
      <c r="I138" s="4"/>
      <c r="J138" s="4"/>
      <c r="K138" s="4"/>
      <c r="L138" s="4"/>
      <c r="M138" s="4"/>
      <c r="N138" s="1"/>
      <c r="O138" s="1"/>
      <c r="P138" s="1"/>
      <c r="Q138" s="1"/>
      <c r="R138" s="1"/>
      <c r="S138" s="1"/>
      <c r="T138" s="1"/>
      <c r="U138" s="1"/>
      <c r="V138" s="1"/>
    </row>
    <row r="139" spans="2:22" ht="15.5">
      <c r="B139" s="1"/>
      <c r="C139" s="1"/>
      <c r="D139" s="4"/>
      <c r="E139" s="4"/>
      <c r="F139" s="1"/>
      <c r="G139" s="1"/>
      <c r="H139" s="4"/>
      <c r="I139" s="4"/>
      <c r="J139" s="4"/>
      <c r="K139" s="4"/>
      <c r="L139" s="4"/>
      <c r="M139" s="4"/>
      <c r="N139" s="1"/>
      <c r="O139" s="1"/>
      <c r="P139" s="1"/>
      <c r="Q139" s="1"/>
      <c r="R139" s="1"/>
      <c r="S139" s="1"/>
      <c r="T139" s="1"/>
      <c r="U139" s="1"/>
      <c r="V139" s="1"/>
    </row>
    <row r="140" spans="2:22" ht="15.5">
      <c r="B140" s="1"/>
      <c r="C140" s="1"/>
      <c r="D140" s="4"/>
      <c r="E140" s="4"/>
      <c r="F140" s="1"/>
      <c r="G140" s="1"/>
      <c r="H140" s="4"/>
      <c r="I140" s="4"/>
      <c r="J140" s="4"/>
      <c r="K140" s="4"/>
      <c r="L140" s="4"/>
      <c r="M140" s="4"/>
      <c r="N140" s="1"/>
      <c r="O140" s="1"/>
      <c r="P140" s="1"/>
      <c r="Q140" s="1"/>
      <c r="R140" s="1"/>
      <c r="S140" s="1"/>
      <c r="T140" s="1"/>
      <c r="U140" s="1"/>
      <c r="V140" s="1"/>
    </row>
    <row r="141" spans="2:22" ht="15.5">
      <c r="B141" s="1"/>
      <c r="C141" s="1"/>
      <c r="D141" s="4"/>
      <c r="E141" s="4"/>
      <c r="F141" s="1"/>
      <c r="G141" s="1"/>
      <c r="H141" s="4"/>
      <c r="I141" s="4"/>
      <c r="J141" s="4"/>
      <c r="K141" s="4"/>
      <c r="L141" s="4"/>
      <c r="M141" s="4"/>
      <c r="N141" s="1"/>
      <c r="O141" s="1"/>
      <c r="P141" s="1"/>
      <c r="Q141" s="1"/>
      <c r="R141" s="1"/>
      <c r="S141" s="1"/>
      <c r="T141" s="1"/>
      <c r="U141" s="1"/>
      <c r="V141" s="1"/>
    </row>
    <row r="142" spans="2:22" ht="15.5">
      <c r="B142" s="1"/>
      <c r="C142" s="1"/>
      <c r="D142" s="4"/>
      <c r="E142" s="4"/>
      <c r="F142" s="1"/>
      <c r="G142" s="1"/>
      <c r="H142" s="4"/>
      <c r="I142" s="4"/>
      <c r="J142" s="4"/>
      <c r="K142" s="4"/>
      <c r="L142" s="4"/>
      <c r="M142" s="4"/>
      <c r="N142" s="1"/>
      <c r="O142" s="1"/>
      <c r="P142" s="1"/>
      <c r="Q142" s="1"/>
      <c r="R142" s="1"/>
      <c r="S142" s="1"/>
      <c r="T142" s="1"/>
      <c r="U142" s="1"/>
      <c r="V142" s="1"/>
    </row>
    <row r="143" spans="2:22" ht="15.5">
      <c r="B143" s="1"/>
      <c r="C143" s="1"/>
      <c r="D143" s="4"/>
      <c r="E143" s="4"/>
      <c r="F143" s="1"/>
      <c r="G143" s="1"/>
      <c r="H143" s="4"/>
      <c r="I143" s="4"/>
      <c r="J143" s="4"/>
      <c r="K143" s="4"/>
      <c r="L143" s="4"/>
      <c r="M143" s="4"/>
      <c r="N143" s="1"/>
      <c r="O143" s="1"/>
      <c r="P143" s="1"/>
      <c r="Q143" s="1"/>
      <c r="R143" s="1"/>
      <c r="S143" s="1"/>
      <c r="T143" s="1"/>
      <c r="U143" s="1"/>
      <c r="V143" s="1"/>
    </row>
    <row r="144" spans="2:22" ht="15.5">
      <c r="B144" s="1"/>
      <c r="C144" s="1"/>
      <c r="D144" s="4"/>
      <c r="E144" s="4"/>
      <c r="F144" s="1"/>
      <c r="G144" s="1"/>
      <c r="H144" s="4"/>
      <c r="I144" s="4"/>
      <c r="J144" s="4"/>
      <c r="K144" s="4"/>
      <c r="L144" s="4"/>
      <c r="M144" s="4"/>
      <c r="N144" s="1"/>
      <c r="O144" s="1"/>
      <c r="P144" s="1"/>
      <c r="Q144" s="1"/>
      <c r="R144" s="1"/>
      <c r="S144" s="1"/>
      <c r="T144" s="1"/>
      <c r="U144" s="1"/>
      <c r="V144" s="1"/>
    </row>
    <row r="145" spans="2:22" ht="15.5">
      <c r="B145" s="1"/>
      <c r="C145" s="1"/>
      <c r="D145" s="4"/>
      <c r="E145" s="4"/>
      <c r="F145" s="1"/>
      <c r="G145" s="1"/>
      <c r="H145" s="4"/>
      <c r="I145" s="4"/>
      <c r="J145" s="4"/>
      <c r="K145" s="4"/>
      <c r="L145" s="4"/>
      <c r="M145" s="4"/>
      <c r="N145" s="1"/>
      <c r="O145" s="1"/>
      <c r="P145" s="1"/>
      <c r="Q145" s="1"/>
      <c r="R145" s="1"/>
      <c r="S145" s="1"/>
      <c r="T145" s="1"/>
      <c r="U145" s="1"/>
      <c r="V145" s="1"/>
    </row>
    <row r="146" spans="2:22" ht="15.5">
      <c r="B146" s="1"/>
      <c r="C146" s="1"/>
      <c r="D146" s="4"/>
      <c r="E146" s="4"/>
      <c r="F146" s="1"/>
      <c r="G146" s="1"/>
      <c r="H146" s="4"/>
      <c r="I146" s="4"/>
      <c r="J146" s="4"/>
      <c r="K146" s="4"/>
      <c r="L146" s="4"/>
      <c r="M146" s="4"/>
      <c r="N146" s="1"/>
      <c r="O146" s="1"/>
      <c r="P146" s="1"/>
      <c r="Q146" s="1"/>
      <c r="R146" s="1"/>
      <c r="S146" s="1"/>
      <c r="T146" s="1"/>
      <c r="U146" s="1"/>
      <c r="V146" s="1"/>
    </row>
    <row r="147" spans="2:22" ht="15.5">
      <c r="B147" s="1"/>
      <c r="C147" s="1"/>
      <c r="D147" s="4"/>
      <c r="E147" s="4"/>
      <c r="F147" s="1"/>
      <c r="G147" s="1"/>
      <c r="H147" s="4"/>
      <c r="I147" s="4"/>
      <c r="J147" s="4"/>
      <c r="K147" s="4"/>
      <c r="L147" s="4"/>
      <c r="M147" s="4"/>
      <c r="N147" s="1"/>
      <c r="O147" s="1"/>
      <c r="P147" s="1"/>
      <c r="Q147" s="1"/>
      <c r="R147" s="1"/>
      <c r="S147" s="1"/>
      <c r="T147" s="1"/>
      <c r="U147" s="1"/>
      <c r="V147" s="1"/>
    </row>
    <row r="148" spans="2:22" ht="15.5">
      <c r="B148" s="1"/>
      <c r="C148" s="1"/>
      <c r="D148" s="4"/>
      <c r="E148" s="4"/>
      <c r="F148" s="1"/>
      <c r="G148" s="1"/>
      <c r="H148" s="4"/>
      <c r="I148" s="4"/>
      <c r="J148" s="4"/>
      <c r="K148" s="4"/>
      <c r="L148" s="4"/>
      <c r="M148" s="4"/>
      <c r="N148" s="1"/>
      <c r="O148" s="1"/>
      <c r="P148" s="1"/>
      <c r="Q148" s="1"/>
      <c r="R148" s="1"/>
      <c r="S148" s="1"/>
      <c r="T148" s="1"/>
      <c r="U148" s="1"/>
      <c r="V148" s="1"/>
    </row>
    <row r="149" spans="2:22" ht="15.5">
      <c r="B149" s="1"/>
      <c r="C149" s="1"/>
      <c r="D149" s="4"/>
      <c r="E149" s="4"/>
      <c r="F149" s="1"/>
      <c r="G149" s="1"/>
      <c r="H149" s="4"/>
      <c r="I149" s="4"/>
      <c r="J149" s="4"/>
      <c r="K149" s="4"/>
      <c r="L149" s="4"/>
      <c r="M149" s="4"/>
      <c r="N149" s="1"/>
      <c r="O149" s="1"/>
      <c r="P149" s="1"/>
      <c r="Q149" s="1"/>
      <c r="R149" s="1"/>
      <c r="S149" s="1"/>
      <c r="T149" s="1"/>
      <c r="U149" s="1"/>
      <c r="V149" s="1"/>
    </row>
    <row r="150" spans="2:22" ht="15.5">
      <c r="B150" s="1"/>
      <c r="C150" s="1"/>
      <c r="D150" s="4"/>
      <c r="E150" s="4"/>
      <c r="F150" s="1"/>
      <c r="G150" s="1"/>
      <c r="H150" s="4"/>
      <c r="I150" s="4"/>
      <c r="J150" s="4"/>
      <c r="K150" s="4"/>
      <c r="L150" s="4"/>
      <c r="M150" s="4"/>
      <c r="N150" s="1"/>
      <c r="O150" s="1"/>
      <c r="P150" s="1"/>
      <c r="Q150" s="1"/>
      <c r="R150" s="1"/>
      <c r="S150" s="1"/>
      <c r="T150" s="1"/>
      <c r="U150" s="1"/>
      <c r="V150" s="1"/>
    </row>
    <row r="151" spans="2:22" ht="15.5">
      <c r="B151" s="1"/>
      <c r="C151" s="1"/>
      <c r="D151" s="4"/>
      <c r="E151" s="4"/>
      <c r="F151" s="1"/>
      <c r="G151" s="1"/>
      <c r="H151" s="4"/>
      <c r="I151" s="4"/>
      <c r="J151" s="4"/>
      <c r="K151" s="4"/>
      <c r="L151" s="4"/>
      <c r="M151" s="4"/>
      <c r="N151" s="1"/>
      <c r="O151" s="1"/>
      <c r="P151" s="1"/>
      <c r="Q151" s="1"/>
      <c r="R151" s="1"/>
      <c r="S151" s="1"/>
      <c r="T151" s="1"/>
      <c r="U151" s="1"/>
      <c r="V151" s="1"/>
    </row>
    <row r="152" spans="2:22" ht="15.5">
      <c r="B152" s="1"/>
      <c r="C152" s="1"/>
      <c r="D152" s="4"/>
      <c r="E152" s="4"/>
      <c r="F152" s="1"/>
      <c r="G152" s="1"/>
      <c r="H152" s="4"/>
      <c r="I152" s="4"/>
      <c r="J152" s="4"/>
      <c r="K152" s="4"/>
      <c r="L152" s="4"/>
      <c r="M152" s="4"/>
      <c r="N152" s="1"/>
      <c r="O152" s="1"/>
      <c r="P152" s="1"/>
      <c r="Q152" s="1"/>
      <c r="R152" s="1"/>
      <c r="S152" s="1"/>
      <c r="T152" s="1"/>
      <c r="U152" s="1"/>
      <c r="V152" s="1"/>
    </row>
    <row r="153" spans="2:22" ht="15.5">
      <c r="B153" s="1"/>
      <c r="C153" s="1"/>
      <c r="D153" s="4"/>
      <c r="E153" s="4"/>
      <c r="F153" s="1"/>
      <c r="G153" s="1"/>
      <c r="H153" s="4"/>
      <c r="I153" s="4"/>
      <c r="J153" s="4"/>
      <c r="K153" s="4"/>
      <c r="L153" s="4"/>
      <c r="M153" s="4"/>
      <c r="N153" s="1"/>
      <c r="O153" s="1"/>
      <c r="P153" s="1"/>
      <c r="Q153" s="1"/>
      <c r="R153" s="1"/>
      <c r="S153" s="1"/>
      <c r="T153" s="1"/>
      <c r="U153" s="1"/>
      <c r="V153" s="1"/>
    </row>
    <row r="154" spans="2:22" ht="15.5">
      <c r="B154" s="1"/>
      <c r="C154" s="1"/>
      <c r="D154" s="4"/>
      <c r="E154" s="4"/>
      <c r="F154" s="1"/>
      <c r="G154" s="1"/>
      <c r="H154" s="4"/>
      <c r="I154" s="4"/>
      <c r="J154" s="4"/>
      <c r="K154" s="4"/>
      <c r="L154" s="4"/>
      <c r="M154" s="4"/>
      <c r="N154" s="1"/>
      <c r="O154" s="1"/>
      <c r="P154" s="1"/>
      <c r="Q154" s="1"/>
      <c r="R154" s="1"/>
      <c r="S154" s="1"/>
      <c r="T154" s="1"/>
      <c r="U154" s="1"/>
      <c r="V154" s="1"/>
    </row>
    <row r="155" spans="2:22" ht="15.5">
      <c r="B155" s="1"/>
      <c r="C155" s="1"/>
      <c r="D155" s="4"/>
      <c r="E155" s="4"/>
      <c r="F155" s="1"/>
      <c r="G155" s="1"/>
      <c r="H155" s="4"/>
      <c r="I155" s="4"/>
      <c r="J155" s="4"/>
      <c r="K155" s="4"/>
      <c r="L155" s="4"/>
      <c r="M155" s="4"/>
      <c r="N155" s="1"/>
      <c r="O155" s="1"/>
      <c r="P155" s="1"/>
      <c r="Q155" s="1"/>
      <c r="R155" s="1"/>
      <c r="S155" s="1"/>
      <c r="T155" s="1"/>
      <c r="U155" s="1"/>
      <c r="V155" s="1"/>
    </row>
    <row r="156" spans="2:22" ht="15.5">
      <c r="B156" s="1"/>
      <c r="C156" s="1"/>
      <c r="D156" s="4"/>
      <c r="E156" s="4"/>
      <c r="F156" s="1"/>
      <c r="G156" s="1"/>
      <c r="H156" s="4"/>
      <c r="I156" s="4"/>
      <c r="J156" s="4"/>
      <c r="K156" s="4"/>
      <c r="L156" s="4"/>
      <c r="M156" s="4"/>
      <c r="N156" s="1"/>
      <c r="O156" s="1"/>
      <c r="P156" s="1"/>
      <c r="Q156" s="1"/>
      <c r="R156" s="1"/>
      <c r="S156" s="1"/>
      <c r="T156" s="1"/>
      <c r="U156" s="1"/>
      <c r="V156" s="1"/>
    </row>
    <row r="157" spans="2:22" ht="15.5">
      <c r="B157" s="1"/>
      <c r="C157" s="1"/>
      <c r="D157" s="4"/>
      <c r="E157" s="4"/>
      <c r="F157" s="1"/>
      <c r="G157" s="1"/>
      <c r="H157" s="4"/>
      <c r="I157" s="4"/>
      <c r="J157" s="4"/>
      <c r="K157" s="4"/>
      <c r="L157" s="4"/>
      <c r="M157" s="4"/>
      <c r="N157" s="1"/>
      <c r="O157" s="1"/>
      <c r="P157" s="1"/>
      <c r="Q157" s="1"/>
      <c r="R157" s="1"/>
      <c r="S157" s="1"/>
      <c r="T157" s="1"/>
      <c r="U157" s="1"/>
      <c r="V157" s="1"/>
    </row>
    <row r="158" spans="2:22" ht="15.5">
      <c r="B158" s="1"/>
      <c r="C158" s="1"/>
      <c r="D158" s="4"/>
      <c r="E158" s="4"/>
      <c r="F158" s="1"/>
      <c r="G158" s="1"/>
      <c r="H158" s="4"/>
      <c r="I158" s="4"/>
      <c r="J158" s="4"/>
      <c r="K158" s="4"/>
      <c r="L158" s="4"/>
      <c r="M158" s="4"/>
      <c r="N158" s="1"/>
      <c r="O158" s="1"/>
      <c r="P158" s="1"/>
      <c r="Q158" s="1"/>
      <c r="R158" s="1"/>
      <c r="S158" s="1"/>
      <c r="T158" s="1"/>
      <c r="U158" s="1"/>
      <c r="V158" s="1"/>
    </row>
  </sheetData>
  <mergeCells count="16">
    <mergeCell ref="B9:C9"/>
    <mergeCell ref="B4:E4"/>
    <mergeCell ref="B5:E5"/>
    <mergeCell ref="B6:E6"/>
    <mergeCell ref="B19:C19"/>
    <mergeCell ref="D7:E7"/>
    <mergeCell ref="B20:C20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E8FF-F1E5-4E75-B0DB-4B51AF3C1F94}">
  <dimension ref="A1:Q53"/>
  <sheetViews>
    <sheetView tabSelected="1" topLeftCell="A8" zoomScale="95" zoomScaleNormal="120" workbookViewId="0">
      <selection activeCell="C23" sqref="C23"/>
    </sheetView>
  </sheetViews>
  <sheetFormatPr defaultRowHeight="14.5"/>
  <cols>
    <col min="1" max="1" width="4.36328125" customWidth="1"/>
    <col min="2" max="2" width="16.08984375" bestFit="1" customWidth="1"/>
    <col min="3" max="3" width="21.453125" customWidth="1"/>
    <col min="6" max="6" width="1.08984375" customWidth="1"/>
    <col min="9" max="9" width="0.81640625" customWidth="1"/>
    <col min="12" max="12" width="0.90625" customWidth="1"/>
    <col min="15" max="15" width="0.81640625" customWidth="1"/>
  </cols>
  <sheetData>
    <row r="1" spans="1:17" ht="15.5">
      <c r="A1" s="9"/>
      <c r="B1" s="108" t="s">
        <v>42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15.5">
      <c r="A2" s="1"/>
      <c r="B2" s="108" t="s">
        <v>18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16" thickBot="1">
      <c r="A3" s="1"/>
      <c r="B3" s="109" t="s">
        <v>36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34.25" customHeight="1">
      <c r="A4" s="2"/>
      <c r="B4" s="110" t="s">
        <v>0</v>
      </c>
      <c r="C4" s="111"/>
      <c r="D4" s="110" t="s">
        <v>19</v>
      </c>
      <c r="E4" s="111"/>
      <c r="F4" s="11"/>
      <c r="G4" s="112" t="s">
        <v>26</v>
      </c>
      <c r="H4" s="113"/>
      <c r="I4" s="12"/>
      <c r="J4" s="112" t="s">
        <v>3</v>
      </c>
      <c r="K4" s="113"/>
      <c r="L4" s="12"/>
      <c r="M4" s="112" t="s">
        <v>4</v>
      </c>
      <c r="N4" s="113"/>
      <c r="O4" s="12"/>
      <c r="P4" s="112" t="s">
        <v>5</v>
      </c>
      <c r="Q4" s="113"/>
    </row>
    <row r="5" spans="1:17" ht="15.5">
      <c r="A5" s="1"/>
      <c r="B5" s="27"/>
      <c r="C5" s="28"/>
      <c r="D5" s="31" t="s">
        <v>1</v>
      </c>
      <c r="E5" s="32" t="s">
        <v>2</v>
      </c>
      <c r="F5" s="13"/>
      <c r="G5" s="33" t="s">
        <v>1</v>
      </c>
      <c r="H5" s="34" t="s">
        <v>2</v>
      </c>
      <c r="I5" s="14"/>
      <c r="J5" s="33" t="s">
        <v>1</v>
      </c>
      <c r="K5" s="34" t="s">
        <v>2</v>
      </c>
      <c r="L5" s="14"/>
      <c r="M5" s="33" t="s">
        <v>1</v>
      </c>
      <c r="N5" s="34" t="s">
        <v>2</v>
      </c>
      <c r="O5" s="14"/>
      <c r="P5" s="33" t="s">
        <v>1</v>
      </c>
      <c r="Q5" s="34" t="s">
        <v>2</v>
      </c>
    </row>
    <row r="6" spans="1:17" ht="15.5">
      <c r="A6" s="1"/>
      <c r="B6" s="114" t="s">
        <v>6</v>
      </c>
      <c r="C6" s="115"/>
      <c r="D6" s="35">
        <v>4500</v>
      </c>
      <c r="E6" s="36"/>
      <c r="F6" s="37"/>
      <c r="G6" s="35"/>
      <c r="H6" s="36"/>
      <c r="I6" s="5"/>
      <c r="J6" s="35">
        <f>D6</f>
        <v>4500</v>
      </c>
      <c r="K6" s="36"/>
      <c r="L6" s="5"/>
      <c r="M6" s="35"/>
      <c r="N6" s="36"/>
      <c r="O6" s="38"/>
      <c r="P6" s="35">
        <f>J6</f>
        <v>4500</v>
      </c>
      <c r="Q6" s="36"/>
    </row>
    <row r="7" spans="1:17" ht="15.5">
      <c r="A7" s="1"/>
      <c r="B7" s="114" t="s">
        <v>7</v>
      </c>
      <c r="C7" s="115"/>
      <c r="D7" s="35">
        <v>3200</v>
      </c>
      <c r="E7" s="36"/>
      <c r="F7" s="37"/>
      <c r="G7" s="35"/>
      <c r="H7" s="36"/>
      <c r="I7" s="3"/>
      <c r="J7" s="35">
        <f>D7</f>
        <v>3200</v>
      </c>
      <c r="K7" s="36"/>
      <c r="L7" s="5"/>
      <c r="M7" s="35"/>
      <c r="N7" s="36"/>
      <c r="O7" s="38"/>
      <c r="P7" s="35">
        <f>J7</f>
        <v>3200</v>
      </c>
      <c r="Q7" s="36"/>
    </row>
    <row r="8" spans="1:17" ht="15.5">
      <c r="A8" s="1"/>
      <c r="B8" s="114" t="s">
        <v>20</v>
      </c>
      <c r="C8" s="115"/>
      <c r="D8" s="35">
        <v>2000</v>
      </c>
      <c r="E8" s="36"/>
      <c r="F8" s="37"/>
      <c r="G8" s="36"/>
      <c r="H8" s="36">
        <v>1520</v>
      </c>
      <c r="I8" s="3"/>
      <c r="J8" s="35">
        <f>2000-1520</f>
        <v>480</v>
      </c>
      <c r="K8" s="36"/>
      <c r="L8" s="5"/>
      <c r="M8" s="35"/>
      <c r="N8" s="36"/>
      <c r="O8" s="38"/>
      <c r="P8" s="35">
        <f>J8</f>
        <v>480</v>
      </c>
      <c r="Q8" s="36"/>
    </row>
    <row r="9" spans="1:17" ht="15.5">
      <c r="A9" s="1"/>
      <c r="B9" s="114" t="s">
        <v>8</v>
      </c>
      <c r="C9" s="115"/>
      <c r="D9" s="35">
        <v>11000</v>
      </c>
      <c r="E9" s="36"/>
      <c r="F9" s="37"/>
      <c r="G9" s="36"/>
      <c r="H9" s="36"/>
      <c r="I9" s="3"/>
      <c r="J9" s="35">
        <f>D9</f>
        <v>11000</v>
      </c>
      <c r="K9" s="36"/>
      <c r="L9" s="5"/>
      <c r="M9" s="35"/>
      <c r="N9" s="36"/>
      <c r="O9" s="38"/>
      <c r="P9" s="35">
        <f>J9</f>
        <v>11000</v>
      </c>
      <c r="Q9" s="36"/>
    </row>
    <row r="10" spans="1:17" ht="15.5">
      <c r="A10" s="1"/>
      <c r="B10" s="114" t="s">
        <v>21</v>
      </c>
      <c r="C10" s="115"/>
      <c r="D10" s="35"/>
      <c r="E10" s="36">
        <v>1250</v>
      </c>
      <c r="F10" s="37"/>
      <c r="G10" s="36"/>
      <c r="H10" s="36">
        <v>250</v>
      </c>
      <c r="I10" s="3"/>
      <c r="J10" s="35"/>
      <c r="K10" s="36">
        <f>1250+250</f>
        <v>1500</v>
      </c>
      <c r="L10" s="3"/>
      <c r="M10" s="35"/>
      <c r="N10" s="36"/>
      <c r="O10" s="38"/>
      <c r="P10" s="35"/>
      <c r="Q10" s="36">
        <f>K10</f>
        <v>1500</v>
      </c>
    </row>
    <row r="11" spans="1:17" ht="15.5">
      <c r="A11" s="1"/>
      <c r="B11" s="114" t="s">
        <v>9</v>
      </c>
      <c r="C11" s="115"/>
      <c r="D11" s="35"/>
      <c r="E11" s="36">
        <v>2500</v>
      </c>
      <c r="F11" s="37"/>
      <c r="G11" s="36"/>
      <c r="H11" s="36"/>
      <c r="I11" s="3"/>
      <c r="J11" s="35"/>
      <c r="K11" s="36">
        <f>E11</f>
        <v>2500</v>
      </c>
      <c r="L11" s="3"/>
      <c r="M11" s="35"/>
      <c r="N11" s="36"/>
      <c r="O11" s="38"/>
      <c r="P11" s="35"/>
      <c r="Q11" s="36">
        <f>K11</f>
        <v>2500</v>
      </c>
    </row>
    <row r="12" spans="1:17" ht="15.5">
      <c r="A12" s="1"/>
      <c r="B12" s="114" t="s">
        <v>22</v>
      </c>
      <c r="C12" s="115"/>
      <c r="D12" s="35"/>
      <c r="E12" s="36">
        <v>550</v>
      </c>
      <c r="F12" s="37"/>
      <c r="G12" s="36">
        <f>290</f>
        <v>290</v>
      </c>
      <c r="H12" s="36"/>
      <c r="I12" s="5"/>
      <c r="J12" s="35"/>
      <c r="K12" s="36">
        <f>550-290</f>
        <v>260</v>
      </c>
      <c r="L12" s="3"/>
      <c r="M12" s="35"/>
      <c r="N12" s="36"/>
      <c r="O12" s="38"/>
      <c r="P12" s="35"/>
      <c r="Q12" s="36">
        <f>K12</f>
        <v>260</v>
      </c>
    </row>
    <row r="13" spans="1:17" ht="15.5">
      <c r="A13" s="1"/>
      <c r="B13" s="114" t="s">
        <v>10</v>
      </c>
      <c r="C13" s="115"/>
      <c r="D13" s="35"/>
      <c r="E13" s="36">
        <v>12900</v>
      </c>
      <c r="F13" s="37"/>
      <c r="G13" s="36"/>
      <c r="H13" s="36"/>
      <c r="I13" s="5"/>
      <c r="J13" s="35"/>
      <c r="K13" s="36">
        <f>E13</f>
        <v>12900</v>
      </c>
      <c r="L13" s="3"/>
      <c r="M13" s="35"/>
      <c r="N13" s="36"/>
      <c r="O13" s="38"/>
      <c r="P13" s="35"/>
      <c r="Q13" s="36">
        <f>K13</f>
        <v>12900</v>
      </c>
    </row>
    <row r="14" spans="1:17" ht="15.5">
      <c r="A14" s="1"/>
      <c r="B14" s="114" t="s">
        <v>11</v>
      </c>
      <c r="C14" s="115"/>
      <c r="D14" s="35">
        <v>1100</v>
      </c>
      <c r="E14" s="36"/>
      <c r="F14" s="37"/>
      <c r="G14" s="36"/>
      <c r="H14" s="36"/>
      <c r="I14" s="5"/>
      <c r="J14" s="35">
        <f>D14</f>
        <v>1100</v>
      </c>
      <c r="K14" s="36"/>
      <c r="L14" s="15"/>
      <c r="M14" s="35"/>
      <c r="N14" s="36"/>
      <c r="O14" s="38"/>
      <c r="P14" s="35">
        <f>J14</f>
        <v>1100</v>
      </c>
      <c r="Q14" s="36"/>
    </row>
    <row r="15" spans="1:17" ht="15.5">
      <c r="A15" s="1"/>
      <c r="B15" s="114" t="s">
        <v>12</v>
      </c>
      <c r="C15" s="115"/>
      <c r="D15" s="35"/>
      <c r="E15" s="36">
        <v>6300</v>
      </c>
      <c r="F15" s="37"/>
      <c r="G15" s="36"/>
      <c r="H15" s="36">
        <f>550-260</f>
        <v>290</v>
      </c>
      <c r="I15" s="3"/>
      <c r="J15" s="35"/>
      <c r="K15" s="36">
        <f>6300+290</f>
        <v>6590</v>
      </c>
      <c r="L15" s="3"/>
      <c r="M15" s="35"/>
      <c r="N15" s="36">
        <f>K15</f>
        <v>6590</v>
      </c>
      <c r="O15" s="3"/>
      <c r="P15" s="35"/>
      <c r="Q15" s="36"/>
    </row>
    <row r="16" spans="1:17" ht="15.5">
      <c r="A16" s="1"/>
      <c r="B16" s="114" t="s">
        <v>13</v>
      </c>
      <c r="C16" s="115"/>
      <c r="D16" s="35">
        <v>1300</v>
      </c>
      <c r="E16" s="36"/>
      <c r="F16" s="37"/>
      <c r="G16" s="36">
        <v>700</v>
      </c>
      <c r="H16" s="36"/>
      <c r="I16" s="5"/>
      <c r="J16" s="35">
        <f>1300+700</f>
        <v>2000</v>
      </c>
      <c r="K16" s="36"/>
      <c r="L16" s="5"/>
      <c r="M16" s="35">
        <f>J16</f>
        <v>2000</v>
      </c>
      <c r="N16" s="36"/>
      <c r="O16" s="38"/>
      <c r="P16" s="35"/>
      <c r="Q16" s="36"/>
    </row>
    <row r="17" spans="1:17" ht="15.5">
      <c r="A17" s="1"/>
      <c r="B17" s="114" t="s">
        <v>23</v>
      </c>
      <c r="C17" s="115"/>
      <c r="D17" s="35">
        <v>400</v>
      </c>
      <c r="E17" s="36"/>
      <c r="F17" s="37"/>
      <c r="G17" s="36"/>
      <c r="H17" s="36"/>
      <c r="I17" s="5"/>
      <c r="J17" s="35">
        <f>D17</f>
        <v>400</v>
      </c>
      <c r="K17" s="36"/>
      <c r="L17" s="5"/>
      <c r="M17" s="35">
        <f>J17</f>
        <v>400</v>
      </c>
      <c r="N17" s="36"/>
      <c r="O17" s="38"/>
      <c r="P17" s="35"/>
      <c r="Q17" s="36"/>
    </row>
    <row r="18" spans="1:17" ht="16" thickBot="1">
      <c r="A18" s="1"/>
      <c r="B18" s="29" t="s">
        <v>28</v>
      </c>
      <c r="C18" s="30"/>
      <c r="D18" s="39">
        <f>SUM(D6:D17)</f>
        <v>23500</v>
      </c>
      <c r="E18" s="40">
        <f>SUM(E6:E17)</f>
        <v>23500</v>
      </c>
      <c r="F18" s="37"/>
      <c r="G18" s="36"/>
      <c r="H18" s="36"/>
      <c r="I18" s="5"/>
      <c r="J18" s="35"/>
      <c r="K18" s="36"/>
      <c r="L18" s="5"/>
      <c r="M18" s="35"/>
      <c r="N18" s="36"/>
      <c r="O18" s="38"/>
      <c r="P18" s="35"/>
      <c r="Q18" s="36"/>
    </row>
    <row r="19" spans="1:17" ht="16" thickTop="1">
      <c r="A19" s="1"/>
      <c r="B19" s="89"/>
      <c r="C19" s="90"/>
      <c r="D19" s="41"/>
      <c r="E19" s="42"/>
      <c r="F19" s="38"/>
      <c r="G19" s="36"/>
      <c r="H19" s="36"/>
      <c r="I19" s="5"/>
      <c r="J19" s="35"/>
      <c r="K19" s="36"/>
      <c r="L19" s="5"/>
      <c r="M19" s="35"/>
      <c r="N19" s="36"/>
      <c r="O19" s="38"/>
      <c r="P19" s="35"/>
      <c r="Q19" s="36"/>
    </row>
    <row r="20" spans="1:17" ht="15.5">
      <c r="A20" s="1"/>
      <c r="B20" s="89" t="s">
        <v>39</v>
      </c>
      <c r="C20" s="90"/>
      <c r="D20" s="41"/>
      <c r="E20" s="42"/>
      <c r="F20" s="38"/>
      <c r="G20" s="36">
        <f>2000-480</f>
        <v>1520</v>
      </c>
      <c r="H20" s="36"/>
      <c r="I20" s="5"/>
      <c r="J20" s="35">
        <f>G20</f>
        <v>1520</v>
      </c>
      <c r="K20" s="36"/>
      <c r="L20" s="5"/>
      <c r="M20" s="35">
        <f>J20</f>
        <v>1520</v>
      </c>
      <c r="N20" s="36"/>
      <c r="O20" s="38"/>
      <c r="P20" s="35"/>
      <c r="Q20" s="36"/>
    </row>
    <row r="21" spans="1:17" ht="15.5">
      <c r="A21" s="1"/>
      <c r="B21" s="89" t="s">
        <v>43</v>
      </c>
      <c r="C21" s="90"/>
      <c r="D21" s="41"/>
      <c r="E21" s="42"/>
      <c r="F21" s="38"/>
      <c r="G21" s="36">
        <v>250</v>
      </c>
      <c r="H21" s="36"/>
      <c r="I21" s="5"/>
      <c r="J21" s="35">
        <f>G21</f>
        <v>250</v>
      </c>
      <c r="K21" s="36"/>
      <c r="L21" s="5"/>
      <c r="M21" s="35">
        <f>J21</f>
        <v>250</v>
      </c>
      <c r="N21" s="36"/>
      <c r="O21" s="38"/>
      <c r="P21" s="35"/>
      <c r="Q21" s="36"/>
    </row>
    <row r="22" spans="1:17" ht="15.5">
      <c r="A22" s="1"/>
      <c r="B22" s="89" t="s">
        <v>38</v>
      </c>
      <c r="C22" s="90"/>
      <c r="D22" s="41"/>
      <c r="E22" s="42"/>
      <c r="F22" s="38"/>
      <c r="G22" s="36"/>
      <c r="H22" s="36">
        <v>700</v>
      </c>
      <c r="I22" s="5"/>
      <c r="J22" s="35"/>
      <c r="K22" s="36">
        <f>700</f>
        <v>700</v>
      </c>
      <c r="L22" s="5"/>
      <c r="M22" s="35"/>
      <c r="N22" s="36"/>
      <c r="O22" s="38"/>
      <c r="P22" s="35"/>
      <c r="Q22" s="36">
        <f>K22</f>
        <v>700</v>
      </c>
    </row>
    <row r="23" spans="1:17" ht="15.5">
      <c r="A23" s="1"/>
      <c r="B23" s="89"/>
      <c r="C23" s="90"/>
      <c r="D23" s="41"/>
      <c r="E23" s="42"/>
      <c r="F23" s="38"/>
      <c r="G23" s="35"/>
      <c r="H23" s="36"/>
      <c r="I23" s="43"/>
      <c r="J23" s="35"/>
      <c r="K23" s="36"/>
      <c r="L23" s="43"/>
      <c r="M23" s="35"/>
      <c r="N23" s="36"/>
      <c r="O23" s="43"/>
      <c r="P23" s="35"/>
      <c r="Q23" s="36"/>
    </row>
    <row r="24" spans="1:17" ht="16" thickBot="1">
      <c r="A24" s="1"/>
      <c r="B24" s="89"/>
      <c r="C24" s="90"/>
      <c r="D24" s="41"/>
      <c r="E24" s="42"/>
      <c r="F24" s="38"/>
      <c r="G24" s="35"/>
      <c r="H24" s="36"/>
      <c r="I24" s="43"/>
      <c r="J24" s="35"/>
      <c r="K24" s="36"/>
      <c r="L24" s="43"/>
      <c r="M24" s="86"/>
      <c r="N24" s="85"/>
      <c r="O24" s="43"/>
      <c r="P24" s="86"/>
      <c r="Q24" s="85"/>
    </row>
    <row r="25" spans="1:17" ht="15.5">
      <c r="A25" s="1"/>
      <c r="B25" s="89"/>
      <c r="C25" s="90"/>
      <c r="D25" s="41"/>
      <c r="E25" s="42"/>
      <c r="F25" s="38"/>
      <c r="G25" s="35"/>
      <c r="H25" s="36"/>
      <c r="I25" s="43"/>
      <c r="J25" s="35"/>
      <c r="K25" s="36"/>
      <c r="L25" s="43"/>
      <c r="M25" s="87">
        <f>SUM(M13:M23)</f>
        <v>4170</v>
      </c>
      <c r="N25" s="88">
        <f>SUM(N14:N24)</f>
        <v>6590</v>
      </c>
      <c r="O25" s="43"/>
      <c r="P25" s="87">
        <f>SUM(P6:P24)</f>
        <v>20280</v>
      </c>
      <c r="Q25" s="88">
        <f>SUM(Q6:Q24)</f>
        <v>17860</v>
      </c>
    </row>
    <row r="26" spans="1:17" ht="16" thickBot="1">
      <c r="A26" s="1"/>
      <c r="B26" s="89" t="s">
        <v>45</v>
      </c>
      <c r="C26" s="90"/>
      <c r="D26" s="41"/>
      <c r="E26" s="42"/>
      <c r="F26" s="38"/>
      <c r="G26" s="35"/>
      <c r="H26" s="36"/>
      <c r="I26" s="43"/>
      <c r="J26" s="35"/>
      <c r="K26" s="36"/>
      <c r="L26" s="43"/>
      <c r="M26" s="85">
        <f>6590-4170</f>
        <v>2420</v>
      </c>
      <c r="N26" s="85"/>
      <c r="O26" s="43"/>
      <c r="P26" s="86"/>
      <c r="Q26" s="85">
        <v>2420</v>
      </c>
    </row>
    <row r="27" spans="1:17" ht="16" thickBot="1">
      <c r="A27" s="1"/>
      <c r="B27" s="89"/>
      <c r="C27" s="90" t="s">
        <v>44</v>
      </c>
      <c r="D27" s="41"/>
      <c r="E27" s="42"/>
      <c r="F27" s="38"/>
      <c r="G27" s="44">
        <f>SUM(G6:G26)</f>
        <v>2760</v>
      </c>
      <c r="H27" s="45">
        <f>SUM(H6:H26)</f>
        <v>2760</v>
      </c>
      <c r="I27" s="5"/>
      <c r="J27" s="44">
        <f>SUM(J6:J26)</f>
        <v>24450</v>
      </c>
      <c r="K27" s="45">
        <f>SUM(K6:K26)</f>
        <v>24450</v>
      </c>
      <c r="L27" s="5"/>
      <c r="M27" s="44">
        <f>M25+M26</f>
        <v>6590</v>
      </c>
      <c r="N27" s="46">
        <f>N25</f>
        <v>6590</v>
      </c>
      <c r="O27" s="3"/>
      <c r="P27" s="47">
        <f>P25</f>
        <v>20280</v>
      </c>
      <c r="Q27" s="45">
        <f>Q25+Q26</f>
        <v>20280</v>
      </c>
    </row>
    <row r="28" spans="1:17" ht="16.5" thickTop="1" thickBot="1">
      <c r="A28" s="1"/>
      <c r="B28" s="91"/>
      <c r="C28" s="92"/>
      <c r="D28" s="48"/>
      <c r="E28" s="49"/>
      <c r="F28" s="38"/>
      <c r="G28" s="48"/>
      <c r="H28" s="50"/>
      <c r="I28" s="5"/>
      <c r="J28" s="48"/>
      <c r="K28" s="50"/>
      <c r="L28" s="5"/>
      <c r="M28" s="48"/>
      <c r="N28" s="49"/>
      <c r="O28" s="38"/>
      <c r="P28" s="51"/>
      <c r="Q28" s="49"/>
    </row>
    <row r="29" spans="1:17" ht="15.5">
      <c r="A29" s="1"/>
      <c r="B29" s="1"/>
      <c r="C29" s="4"/>
      <c r="D29" s="4"/>
      <c r="E29" s="1"/>
      <c r="F29" s="1"/>
      <c r="G29" s="4"/>
      <c r="H29" s="4"/>
      <c r="I29" s="4"/>
      <c r="J29" s="4"/>
      <c r="K29" s="4"/>
      <c r="L29" s="4"/>
      <c r="M29" s="1"/>
      <c r="N29" s="1"/>
      <c r="O29" s="1"/>
      <c r="P29" s="1"/>
      <c r="Q29" s="1"/>
    </row>
    <row r="30" spans="1:17" ht="15.5">
      <c r="A30" s="1"/>
      <c r="B30" s="18"/>
      <c r="C30" s="18"/>
      <c r="D30" s="4"/>
      <c r="E30" s="16"/>
      <c r="F30" s="16"/>
      <c r="G30" s="4"/>
      <c r="H30" s="4"/>
      <c r="I30" s="4"/>
      <c r="J30" s="4"/>
      <c r="K30" s="4"/>
      <c r="L30" s="4"/>
      <c r="M30" s="1"/>
      <c r="N30" s="1"/>
      <c r="O30" s="1"/>
      <c r="P30" s="1"/>
      <c r="Q30" s="1"/>
    </row>
    <row r="31" spans="1:17" ht="15.5">
      <c r="A31" s="1"/>
      <c r="B31" s="1"/>
      <c r="C31" s="4"/>
      <c r="D31" s="4"/>
      <c r="E31" s="1"/>
      <c r="F31" s="1"/>
      <c r="G31" s="4"/>
      <c r="H31" s="4"/>
      <c r="I31" s="4"/>
      <c r="J31" s="4"/>
      <c r="K31" s="4"/>
      <c r="L31" s="4"/>
      <c r="M31" s="1"/>
      <c r="N31" s="1"/>
      <c r="O31" s="1"/>
      <c r="P31" s="1"/>
      <c r="Q31" s="1"/>
    </row>
    <row r="32" spans="1:17" ht="15.5">
      <c r="A32" s="52"/>
      <c r="H32" s="4"/>
      <c r="I32" s="4"/>
      <c r="J32" s="4"/>
      <c r="K32" s="4"/>
      <c r="L32" s="4"/>
      <c r="M32" s="1"/>
      <c r="N32" s="1"/>
      <c r="O32" s="1"/>
      <c r="P32" s="1"/>
      <c r="Q32" s="1"/>
    </row>
    <row r="33" spans="1:17" ht="15.5">
      <c r="A33" s="52"/>
      <c r="H33" s="4"/>
      <c r="I33" s="4"/>
      <c r="J33" s="4"/>
      <c r="K33" s="4"/>
      <c r="L33" s="4"/>
      <c r="M33" s="1"/>
      <c r="N33" s="1"/>
      <c r="O33" s="1"/>
      <c r="P33" s="1"/>
      <c r="Q33" s="1"/>
    </row>
    <row r="34" spans="1:17" ht="15.5">
      <c r="B34" s="52"/>
      <c r="C34" s="53"/>
      <c r="D34" s="53"/>
      <c r="H34" s="4"/>
      <c r="I34" s="4"/>
      <c r="J34" s="4"/>
      <c r="K34" s="4"/>
      <c r="L34" s="4"/>
      <c r="M34" s="1"/>
      <c r="N34" s="1"/>
      <c r="O34" s="1"/>
      <c r="P34" s="1"/>
      <c r="Q34" s="1"/>
    </row>
    <row r="35" spans="1:17" ht="15.5">
      <c r="C35" s="53"/>
      <c r="D35" s="53"/>
      <c r="H35" s="4"/>
      <c r="I35" s="4"/>
      <c r="J35" s="4"/>
      <c r="K35" s="4"/>
      <c r="L35" s="4"/>
      <c r="M35" s="1"/>
      <c r="N35" s="1"/>
      <c r="O35" s="1"/>
      <c r="P35" s="1"/>
      <c r="Q35" s="1"/>
    </row>
    <row r="36" spans="1:17" ht="15.5">
      <c r="H36" s="4"/>
      <c r="I36" s="4"/>
      <c r="J36" s="4"/>
      <c r="K36" s="4"/>
      <c r="L36" s="4"/>
      <c r="M36" s="1"/>
      <c r="N36" s="1"/>
      <c r="O36" s="1"/>
      <c r="P36" s="1"/>
      <c r="Q36" s="1"/>
    </row>
    <row r="37" spans="1:17" ht="15.5">
      <c r="H37" s="4"/>
      <c r="I37" s="4"/>
      <c r="J37" s="4"/>
      <c r="K37" s="4"/>
      <c r="L37" s="4"/>
      <c r="M37" s="1"/>
      <c r="N37" s="1"/>
      <c r="O37" s="1"/>
      <c r="P37" s="1"/>
      <c r="Q37" s="1"/>
    </row>
    <row r="38" spans="1:17" ht="15.5">
      <c r="B38" s="52"/>
      <c r="C38" s="53"/>
      <c r="D38" s="53"/>
      <c r="H38" s="4"/>
      <c r="I38" s="4"/>
      <c r="J38" s="4"/>
      <c r="K38" s="4"/>
      <c r="L38" s="4"/>
      <c r="M38" s="1"/>
      <c r="N38" s="1"/>
      <c r="O38" s="1"/>
      <c r="P38" s="1"/>
      <c r="Q38" s="1"/>
    </row>
    <row r="39" spans="1:17" ht="15.5">
      <c r="C39" s="53"/>
      <c r="D39" s="53"/>
      <c r="H39" s="4"/>
      <c r="I39" s="4"/>
      <c r="J39" s="4"/>
      <c r="K39" s="4"/>
      <c r="L39" s="4"/>
      <c r="M39" s="1"/>
      <c r="N39" s="1"/>
      <c r="O39" s="1"/>
      <c r="P39" s="1"/>
      <c r="Q39" s="1"/>
    </row>
    <row r="40" spans="1:17" ht="15.5">
      <c r="C40" s="53"/>
      <c r="D40" s="53"/>
      <c r="H40" s="4"/>
      <c r="I40" s="4"/>
      <c r="J40" s="4"/>
      <c r="K40" s="4"/>
      <c r="L40" s="4"/>
      <c r="M40" s="1"/>
      <c r="N40" s="1"/>
      <c r="O40" s="1"/>
      <c r="P40" s="1"/>
      <c r="Q40" s="1"/>
    </row>
    <row r="41" spans="1:17" ht="15.5">
      <c r="C41" s="53"/>
      <c r="D41" s="53"/>
      <c r="H41" s="4"/>
      <c r="I41" s="4"/>
      <c r="J41" s="4"/>
      <c r="K41" s="4"/>
      <c r="L41" s="4"/>
      <c r="M41" s="1"/>
      <c r="N41" s="1"/>
      <c r="O41" s="1"/>
      <c r="P41" s="1"/>
      <c r="Q41" s="1"/>
    </row>
    <row r="42" spans="1:17" ht="15.5">
      <c r="C42" s="53"/>
      <c r="D42" s="53"/>
      <c r="H42" s="4"/>
      <c r="I42" s="4"/>
      <c r="J42" s="4"/>
      <c r="K42" s="4"/>
      <c r="L42" s="4"/>
      <c r="M42" s="1"/>
      <c r="N42" s="1"/>
      <c r="O42" s="1"/>
      <c r="P42" s="1"/>
      <c r="Q42" s="1"/>
    </row>
    <row r="43" spans="1:17" ht="15.5">
      <c r="H43" s="4"/>
      <c r="I43" s="4"/>
      <c r="J43" s="4"/>
      <c r="K43" s="4"/>
      <c r="L43" s="4"/>
      <c r="M43" s="1"/>
      <c r="N43" s="1"/>
      <c r="O43" s="1"/>
      <c r="P43" s="1"/>
      <c r="Q43" s="1"/>
    </row>
    <row r="44" spans="1:17" ht="15.5">
      <c r="H44" s="4"/>
      <c r="I44" s="4"/>
      <c r="J44" s="4"/>
      <c r="K44" s="4"/>
      <c r="L44" s="4"/>
      <c r="M44" s="1"/>
      <c r="N44" s="1"/>
      <c r="O44" s="1"/>
      <c r="P44" s="1"/>
      <c r="Q44" s="1"/>
    </row>
    <row r="45" spans="1:17" ht="15.5">
      <c r="B45" s="52"/>
      <c r="C45" s="53"/>
      <c r="D45" s="53"/>
      <c r="H45" s="4"/>
      <c r="I45" s="4"/>
      <c r="J45" s="4"/>
      <c r="K45" s="4"/>
      <c r="L45" s="4"/>
      <c r="M45" s="1"/>
      <c r="N45" s="1"/>
      <c r="O45" s="1"/>
      <c r="P45" s="1"/>
      <c r="Q45" s="1"/>
    </row>
    <row r="46" spans="1:17" ht="15.5">
      <c r="C46" s="53"/>
      <c r="D46" s="53"/>
      <c r="H46" s="4"/>
      <c r="I46" s="4"/>
      <c r="J46" s="4"/>
      <c r="K46" s="4"/>
      <c r="L46" s="4"/>
      <c r="M46" s="1"/>
      <c r="N46" s="1"/>
      <c r="O46" s="1"/>
      <c r="P46" s="1"/>
      <c r="Q46" s="1"/>
    </row>
    <row r="47" spans="1:17" ht="15.5">
      <c r="H47" s="4"/>
      <c r="I47" s="4"/>
      <c r="J47" s="4"/>
      <c r="K47" s="4"/>
      <c r="L47" s="4"/>
      <c r="M47" s="1"/>
      <c r="N47" s="1"/>
      <c r="O47" s="1"/>
      <c r="P47" s="1"/>
      <c r="Q47" s="1"/>
    </row>
    <row r="48" spans="1:17" ht="15.5">
      <c r="H48" s="4"/>
      <c r="I48" s="4"/>
      <c r="J48" s="4"/>
      <c r="K48" s="4"/>
      <c r="L48" s="4"/>
      <c r="M48" s="1"/>
      <c r="N48" s="1"/>
      <c r="O48" s="1"/>
      <c r="P48" s="1"/>
      <c r="Q48" s="1"/>
    </row>
    <row r="49" spans="1:17" ht="15.5">
      <c r="H49" s="4"/>
      <c r="I49" s="4"/>
      <c r="J49" s="4"/>
      <c r="K49" s="4"/>
      <c r="L49" s="4"/>
      <c r="M49" s="1"/>
      <c r="N49" s="1"/>
      <c r="O49" s="1"/>
      <c r="P49" s="1"/>
      <c r="Q49" s="1"/>
    </row>
    <row r="50" spans="1:17" ht="15.5">
      <c r="B50" s="52"/>
      <c r="C50" s="53"/>
      <c r="D50" s="53"/>
      <c r="H50" s="4"/>
      <c r="I50" s="4"/>
      <c r="J50" s="4"/>
      <c r="K50" s="4"/>
      <c r="L50" s="4"/>
      <c r="M50" s="1"/>
      <c r="N50" s="1"/>
      <c r="O50" s="1"/>
      <c r="P50" s="1"/>
      <c r="Q50" s="1"/>
    </row>
    <row r="51" spans="1:17" ht="15.5">
      <c r="C51" s="53"/>
      <c r="D51" s="53"/>
      <c r="H51" s="4"/>
      <c r="I51" s="4"/>
      <c r="J51" s="4"/>
      <c r="K51" s="4"/>
      <c r="L51" s="4"/>
      <c r="M51" s="1"/>
      <c r="N51" s="1"/>
      <c r="O51" s="1"/>
      <c r="P51" s="1"/>
      <c r="Q51" s="1"/>
    </row>
    <row r="52" spans="1:17" ht="15.5">
      <c r="A52" s="1"/>
      <c r="B52" s="1"/>
      <c r="C52" s="4"/>
      <c r="D52" s="4"/>
      <c r="E52" s="4"/>
      <c r="F52" s="17"/>
      <c r="G52" s="4"/>
      <c r="H52" s="4"/>
      <c r="I52" s="4"/>
      <c r="J52" s="4"/>
      <c r="K52" s="4"/>
      <c r="L52" s="4"/>
      <c r="M52" s="1"/>
      <c r="N52" s="1"/>
      <c r="O52" s="1"/>
      <c r="P52" s="1"/>
      <c r="Q52" s="1"/>
    </row>
    <row r="53" spans="1:17" ht="15.5">
      <c r="A53" s="1"/>
      <c r="B53" s="1"/>
      <c r="C53" s="4"/>
      <c r="D53" s="4"/>
      <c r="E53" s="1"/>
      <c r="F53" s="1"/>
      <c r="G53" s="4"/>
      <c r="H53" s="4"/>
      <c r="I53" s="4"/>
      <c r="J53" s="4"/>
      <c r="K53" s="4"/>
      <c r="L53" s="4"/>
      <c r="M53" s="1"/>
      <c r="N53" s="1"/>
      <c r="O53" s="1"/>
      <c r="P53" s="1"/>
      <c r="Q53" s="1"/>
    </row>
  </sheetData>
  <mergeCells count="21"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:Q1"/>
    <mergeCell ref="B2:Q2"/>
    <mergeCell ref="B3:Q3"/>
    <mergeCell ref="B4:C4"/>
    <mergeCell ref="D4:E4"/>
    <mergeCell ref="G4:H4"/>
    <mergeCell ref="J4:K4"/>
    <mergeCell ref="M4:N4"/>
    <mergeCell ref="P4:Q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</vt:lpstr>
      <vt:lpstr>Worksheet 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USER</cp:lastModifiedBy>
  <dcterms:created xsi:type="dcterms:W3CDTF">2013-02-15T21:13:48Z</dcterms:created>
  <dcterms:modified xsi:type="dcterms:W3CDTF">2022-10-19T05:36:09Z</dcterms:modified>
</cp:coreProperties>
</file>