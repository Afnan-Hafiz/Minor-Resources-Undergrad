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ACHING (BRAC Uni) 2\8-fall 2023\student folders\uploaded\ch13\"/>
    </mc:Choice>
  </mc:AlternateContent>
  <xr:revisionPtr revIDLastSave="0" documentId="13_ncr:1_{F25BF56D-ED7B-463C-A716-5166CFF7BED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Journal Entry" sheetId="5" r:id="rId1"/>
    <sheet name="Posting" sheetId="6" r:id="rId2"/>
    <sheet name="Stockholder's Equity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6" l="1"/>
  <c r="H34" i="6" s="1"/>
  <c r="H35" i="6" s="1"/>
  <c r="H36" i="6" s="1"/>
  <c r="H26" i="6"/>
  <c r="H16" i="6"/>
  <c r="H17" i="6" s="1"/>
  <c r="H18" i="6" s="1"/>
  <c r="H19" i="6" s="1"/>
  <c r="G21" i="5" l="1"/>
  <c r="H23" i="5" s="1"/>
  <c r="H19" i="5"/>
  <c r="G13" i="5"/>
</calcChain>
</file>

<file path=xl/sharedStrings.xml><?xml version="1.0" encoding="utf-8"?>
<sst xmlns="http://schemas.openxmlformats.org/spreadsheetml/2006/main" count="179" uniqueCount="74">
  <si>
    <t xml:space="preserve">Date </t>
  </si>
  <si>
    <t>Item</t>
  </si>
  <si>
    <t>Ref.</t>
  </si>
  <si>
    <t>Debit</t>
  </si>
  <si>
    <t>Credit</t>
  </si>
  <si>
    <t>General Journal</t>
  </si>
  <si>
    <t>Instructions</t>
  </si>
  <si>
    <t>(a)</t>
  </si>
  <si>
    <t>Dr</t>
  </si>
  <si>
    <t>Cr</t>
  </si>
  <si>
    <t>Assets</t>
  </si>
  <si>
    <t>A</t>
  </si>
  <si>
    <t>+</t>
  </si>
  <si>
    <t>-</t>
  </si>
  <si>
    <t>Liabilities</t>
  </si>
  <si>
    <t>L</t>
  </si>
  <si>
    <t>Capital</t>
  </si>
  <si>
    <t>C</t>
  </si>
  <si>
    <t>Income</t>
  </si>
  <si>
    <t>I</t>
  </si>
  <si>
    <t>Expense</t>
  </si>
  <si>
    <t>E</t>
  </si>
  <si>
    <t>(b)</t>
  </si>
  <si>
    <t>(c)</t>
  </si>
  <si>
    <t>Franco Corporation was organized on January 1, 2010. It is authorized to issue 10,000 shares of 8%, $100 par value</t>
  </si>
  <si>
    <t>Post to the stockholders’ equity accounts. (Use J5 as the posting reference.)</t>
  </si>
  <si>
    <t xml:space="preserve"> Prepare the paid-in capital section of stockholders’ equity at December 31, 2010.</t>
  </si>
  <si>
    <t xml:space="preserve">Journalize the transactions. </t>
  </si>
  <si>
    <t>Issued 80,000 shares of common stock for cash at $4 per share.</t>
  </si>
  <si>
    <t>Issued 5,000 shares of preferred stock for cash at $105 per share</t>
  </si>
  <si>
    <t>Issued 80,000 shares of common stock for cash at $4.50 per share</t>
  </si>
  <si>
    <t>Issued 10,000 shares of common stock for cash at $5 per share</t>
  </si>
  <si>
    <t>Issued 1,000 shares of preferred stock for cash at $109 per share.</t>
  </si>
  <si>
    <t xml:space="preserve"> preferred stock, and 500,000 shares of no-par common stock with a stated value of $2 per share. The following </t>
  </si>
  <si>
    <t>stock transactions were completed during the first year.</t>
  </si>
  <si>
    <t xml:space="preserve"> value of the land was $85,000.</t>
  </si>
  <si>
    <t>Issued 24,000 shares of common stock for land. The asking price of the land was $90,000.The fair market</t>
  </si>
  <si>
    <t>provided in helping the company organize.</t>
  </si>
  <si>
    <t xml:space="preserve">Issued 10,000 shares of common stock to attorneys in payment of their bill of $30,000 for services </t>
  </si>
  <si>
    <t>Franco Corporation</t>
  </si>
  <si>
    <t>Balance Sheet (Partial)</t>
  </si>
  <si>
    <t>Stockholder's equity</t>
  </si>
  <si>
    <t>Paid-in Capital</t>
  </si>
  <si>
    <t>Capital Stock</t>
  </si>
  <si>
    <t>8% preferred stock, $100 par value,        10,000 shares authorized, 6,000 shares                             issued and outstanding</t>
  </si>
  <si>
    <t>Common Stock, no par, $2 stated value, 500,000 shares authorized, 204,000 shares issued and outstanding</t>
  </si>
  <si>
    <t>Total Capital Stock</t>
  </si>
  <si>
    <t>Additional Paid-in Capital</t>
  </si>
  <si>
    <t>In excess of par - Preferred Stock</t>
  </si>
  <si>
    <t>In excess of stated value - Common Stock</t>
  </si>
  <si>
    <t>Total Additional Paid-in Capital</t>
  </si>
  <si>
    <t xml:space="preserve">Total Paid-in Capital </t>
  </si>
  <si>
    <t>Common Stock</t>
  </si>
  <si>
    <t>Cash (80,000*4)</t>
  </si>
  <si>
    <t>Common Stock (80000*2)</t>
  </si>
  <si>
    <t xml:space="preserve">Paid-in Capital in excess of stated value - Common Stock </t>
  </si>
  <si>
    <t>Cash (5000*105)</t>
  </si>
  <si>
    <t>Preferred Stock</t>
  </si>
  <si>
    <t>Paid-in Capital in excess of par value - Preferred Stock</t>
  </si>
  <si>
    <t>Land</t>
  </si>
  <si>
    <t>Common Stock (24000*2)</t>
  </si>
  <si>
    <t>Paid-in Capital in excess of stated value - Common Stock</t>
  </si>
  <si>
    <t>Cash (80000*4.5)</t>
  </si>
  <si>
    <t>Organization Expense</t>
  </si>
  <si>
    <t>Cash (10000*5)</t>
  </si>
  <si>
    <t>Common Stock (10000*2)</t>
  </si>
  <si>
    <t>Cash (1000*109)</t>
  </si>
  <si>
    <t>Preferred Stock (1000*100)</t>
  </si>
  <si>
    <t>Explanation</t>
  </si>
  <si>
    <t xml:space="preserve">Debit </t>
  </si>
  <si>
    <t>Balance</t>
  </si>
  <si>
    <t>Cash</t>
  </si>
  <si>
    <t xml:space="preserve">Post to the stockholders’ equity accounts. (Use J5 as the posting reference.) </t>
  </si>
  <si>
    <t>Organization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</si>
</sst>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_-* #,##0.00_-;\-* #,##0.00_-;_-* &quot;-&quot;??_-;_-@_-"/>
    <numFmt numFmtId="166" formatCode="_-* #,##0_-;\-* #,##0_-;_-* &quot;-&quot;??_-;_-@_-"/>
  </numFmts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0"/>
      <color theme="0"/>
      <name val="Liberation Sans"/>
      <family val="2"/>
    </font>
    <font>
      <sz val="10"/>
      <color theme="0"/>
      <name val="Liberation Sans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0"/>
      <color theme="1"/>
      <name val="Liberation Sans"/>
      <family val="2"/>
    </font>
    <font>
      <b/>
      <sz val="10"/>
      <color theme="0"/>
      <name val="Liberation Sans"/>
      <family val="2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E0D2A0"/>
        <bgColor indexed="64"/>
      </patternFill>
    </fill>
    <fill>
      <patternFill patternType="solid">
        <fgColor rgb="FFAC6510"/>
        <bgColor indexed="64"/>
      </patternFill>
    </fill>
    <fill>
      <patternFill patternType="solid">
        <fgColor rgb="FFA75E0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5" fontId="12" fillId="0" borderId="0" applyFon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0" xfId="0" applyFill="1"/>
    <xf numFmtId="0" fontId="8" fillId="3" borderId="0" xfId="0" applyFont="1" applyFill="1"/>
    <xf numFmtId="0" fontId="9" fillId="3" borderId="0" xfId="0" applyFont="1" applyFill="1"/>
    <xf numFmtId="0" fontId="1" fillId="3" borderId="0" xfId="0" applyFont="1" applyFill="1"/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3" borderId="10" xfId="0" applyFill="1" applyBorder="1"/>
    <xf numFmtId="0" fontId="0" fillId="3" borderId="11" xfId="0" applyFill="1" applyBorder="1"/>
    <xf numFmtId="0" fontId="2" fillId="3" borderId="12" xfId="0" applyFont="1" applyFill="1" applyBorder="1"/>
    <xf numFmtId="0" fontId="1" fillId="3" borderId="13" xfId="0" applyFont="1" applyFill="1" applyBorder="1"/>
    <xf numFmtId="0" fontId="10" fillId="3" borderId="0" xfId="0" applyFont="1" applyFill="1"/>
    <xf numFmtId="0" fontId="10" fillId="3" borderId="13" xfId="0" applyFont="1" applyFill="1" applyBorder="1"/>
    <xf numFmtId="0" fontId="2" fillId="3" borderId="12" xfId="0" applyFont="1" applyFill="1" applyBorder="1" applyAlignment="1">
      <alignment horizontal="right"/>
    </xf>
    <xf numFmtId="0" fontId="2" fillId="3" borderId="0" xfId="0" applyFont="1" applyFill="1"/>
    <xf numFmtId="0" fontId="6" fillId="2" borderId="0" xfId="0" applyFont="1" applyFill="1"/>
    <xf numFmtId="0" fontId="7" fillId="3" borderId="15" xfId="0" applyFont="1" applyFill="1" applyBorder="1" applyAlignment="1">
      <alignment horizontal="center"/>
    </xf>
    <xf numFmtId="16" fontId="5" fillId="2" borderId="0" xfId="0" quotePrefix="1" applyNumberFormat="1" applyFont="1" applyFill="1"/>
    <xf numFmtId="0" fontId="5" fillId="2" borderId="0" xfId="0" quotePrefix="1" applyFont="1" applyFill="1"/>
    <xf numFmtId="0" fontId="0" fillId="3" borderId="9" xfId="0" applyFill="1" applyBorder="1"/>
    <xf numFmtId="0" fontId="2" fillId="3" borderId="10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7" fillId="2" borderId="0" xfId="0" applyFont="1" applyFill="1" applyAlignment="1">
      <alignment horizontal="center"/>
    </xf>
    <xf numFmtId="0" fontId="2" fillId="3" borderId="13" xfId="0" applyFont="1" applyFill="1" applyBorder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8" fillId="2" borderId="0" xfId="0" applyFont="1" applyFill="1" applyAlignment="1">
      <alignment horizontal="right"/>
    </xf>
    <xf numFmtId="0" fontId="0" fillId="4" borderId="9" xfId="0" applyFill="1" applyBorder="1"/>
    <xf numFmtId="0" fontId="2" fillId="4" borderId="10" xfId="0" applyFont="1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0" fillId="4" borderId="13" xfId="0" applyFill="1" applyBorder="1"/>
    <xf numFmtId="0" fontId="2" fillId="4" borderId="0" xfId="0" applyFont="1" applyFill="1" applyAlignment="1">
      <alignment horizontal="center" vertical="center"/>
    </xf>
    <xf numFmtId="0" fontId="4" fillId="4" borderId="13" xfId="0" applyFont="1" applyFill="1" applyBorder="1"/>
    <xf numFmtId="0" fontId="5" fillId="4" borderId="13" xfId="0" applyFont="1" applyFill="1" applyBorder="1"/>
    <xf numFmtId="16" fontId="5" fillId="4" borderId="13" xfId="0" quotePrefix="1" applyNumberFormat="1" applyFont="1" applyFill="1" applyBorder="1"/>
    <xf numFmtId="0" fontId="5" fillId="4" borderId="13" xfId="0" quotePrefix="1" applyFont="1" applyFill="1" applyBorder="1"/>
    <xf numFmtId="0" fontId="3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2" fillId="3" borderId="9" xfId="0" applyFont="1" applyFill="1" applyBorder="1"/>
    <xf numFmtId="0" fontId="2" fillId="3" borderId="11" xfId="0" applyFont="1" applyFill="1" applyBorder="1"/>
    <xf numFmtId="164" fontId="2" fillId="3" borderId="13" xfId="0" applyNumberFormat="1" applyFont="1" applyFill="1" applyBorder="1"/>
    <xf numFmtId="0" fontId="2" fillId="3" borderId="0" xfId="0" applyFont="1" applyFill="1" applyAlignment="1">
      <alignment horizontal="left"/>
    </xf>
    <xf numFmtId="0" fontId="2" fillId="3" borderId="17" xfId="0" applyFont="1" applyFill="1" applyBorder="1"/>
    <xf numFmtId="164" fontId="2" fillId="3" borderId="0" xfId="0" applyNumberFormat="1" applyFont="1" applyFill="1"/>
    <xf numFmtId="0" fontId="2" fillId="3" borderId="18" xfId="0" applyFont="1" applyFill="1" applyBorder="1"/>
    <xf numFmtId="0" fontId="2" fillId="3" borderId="1" xfId="0" applyFont="1" applyFill="1" applyBorder="1"/>
    <xf numFmtId="0" fontId="0" fillId="2" borderId="12" xfId="0" applyFill="1" applyBorder="1"/>
    <xf numFmtId="0" fontId="0" fillId="2" borderId="14" xfId="0" applyFill="1" applyBorder="1"/>
    <xf numFmtId="0" fontId="8" fillId="3" borderId="12" xfId="0" applyFont="1" applyFill="1" applyBorder="1"/>
    <xf numFmtId="0" fontId="2" fillId="3" borderId="1" xfId="0" applyFont="1" applyFill="1" applyBorder="1" applyAlignment="1">
      <alignment horizontal="center" vertical="center"/>
    </xf>
    <xf numFmtId="17" fontId="2" fillId="3" borderId="12" xfId="0" applyNumberFormat="1" applyFont="1" applyFill="1" applyBorder="1"/>
    <xf numFmtId="0" fontId="11" fillId="3" borderId="12" xfId="0" applyFont="1" applyFill="1" applyBorder="1"/>
    <xf numFmtId="0" fontId="8" fillId="3" borderId="12" xfId="0" applyFont="1" applyFill="1" applyBorder="1" applyAlignment="1">
      <alignment horizontal="right"/>
    </xf>
    <xf numFmtId="0" fontId="6" fillId="3" borderId="9" xfId="0" applyFont="1" applyFill="1" applyBorder="1"/>
    <xf numFmtId="0" fontId="6" fillId="3" borderId="10" xfId="0" applyFont="1" applyFill="1" applyBorder="1"/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1" fontId="6" fillId="2" borderId="0" xfId="0" applyNumberFormat="1" applyFont="1" applyFill="1"/>
    <xf numFmtId="0" fontId="6" fillId="3" borderId="12" xfId="0" applyFont="1" applyFill="1" applyBorder="1" applyAlignment="1">
      <alignment horizontal="left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left"/>
    </xf>
    <xf numFmtId="0" fontId="6" fillId="3" borderId="15" xfId="0" applyFont="1" applyFill="1" applyBorder="1"/>
    <xf numFmtId="0" fontId="7" fillId="3" borderId="16" xfId="0" applyFont="1" applyFill="1" applyBorder="1" applyAlignment="1">
      <alignment horizontal="center"/>
    </xf>
    <xf numFmtId="17" fontId="8" fillId="3" borderId="12" xfId="0" applyNumberFormat="1" applyFont="1" applyFill="1" applyBorder="1"/>
    <xf numFmtId="0" fontId="6" fillId="2" borderId="0" xfId="0" applyFont="1" applyFill="1" applyAlignment="1">
      <alignment horizontal="left"/>
    </xf>
    <xf numFmtId="0" fontId="2" fillId="3" borderId="19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center" vertical="center"/>
    </xf>
    <xf numFmtId="17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/>
    <xf numFmtId="0" fontId="2" fillId="3" borderId="1" xfId="0" applyFont="1" applyFill="1" applyBorder="1" applyAlignment="1">
      <alignment horizontal="left"/>
    </xf>
    <xf numFmtId="17" fontId="2" fillId="3" borderId="5" xfId="0" applyNumberFormat="1" applyFont="1" applyFill="1" applyBorder="1"/>
    <xf numFmtId="0" fontId="2" fillId="3" borderId="7" xfId="0" applyFont="1" applyFill="1" applyBorder="1"/>
    <xf numFmtId="0" fontId="2" fillId="3" borderId="2" xfId="0" applyFont="1" applyFill="1" applyBorder="1"/>
    <xf numFmtId="0" fontId="2" fillId="3" borderId="8" xfId="0" applyFont="1" applyFill="1" applyBorder="1"/>
    <xf numFmtId="166" fontId="2" fillId="3" borderId="1" xfId="1" applyNumberFormat="1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horizontal="center" vertical="center"/>
    </xf>
    <xf numFmtId="166" fontId="2" fillId="3" borderId="1" xfId="1" applyNumberFormat="1" applyFont="1" applyFill="1" applyBorder="1"/>
    <xf numFmtId="166" fontId="2" fillId="3" borderId="6" xfId="1" applyNumberFormat="1" applyFont="1" applyFill="1" applyBorder="1"/>
    <xf numFmtId="0" fontId="2" fillId="3" borderId="21" xfId="0" applyFont="1" applyFill="1" applyBorder="1" applyAlignment="1">
      <alignment horizontal="center" vertical="center"/>
    </xf>
    <xf numFmtId="0" fontId="0" fillId="5" borderId="14" xfId="0" applyFill="1" applyBorder="1"/>
    <xf numFmtId="0" fontId="0" fillId="5" borderId="16" xfId="0" applyFill="1" applyBorder="1"/>
    <xf numFmtId="0" fontId="2" fillId="5" borderId="15" xfId="0" applyFont="1" applyFill="1" applyBorder="1"/>
    <xf numFmtId="0" fontId="6" fillId="3" borderId="12" xfId="0" applyFont="1" applyFill="1" applyBorder="1"/>
    <xf numFmtId="0" fontId="6" fillId="3" borderId="0" xfId="0" applyFont="1" applyFill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0" fontId="2" fillId="5" borderId="23" xfId="0" applyFont="1" applyFill="1" applyBorder="1"/>
    <xf numFmtId="0" fontId="2" fillId="5" borderId="10" xfId="0" applyFont="1" applyFill="1" applyBorder="1"/>
    <xf numFmtId="0" fontId="0" fillId="5" borderId="11" xfId="0" applyFill="1" applyBorder="1"/>
    <xf numFmtId="0" fontId="2" fillId="3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9" fontId="2" fillId="3" borderId="0" xfId="0" applyNumberFormat="1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0D2A0"/>
      <color rgb="FFA75E05"/>
      <color rgb="FFC66F06"/>
      <color rgb="FFAC6510"/>
      <color rgb="FFBC8B10"/>
      <color rgb="FFB65316"/>
      <color rgb="FF360860"/>
      <color rgb="FFCC99FF"/>
      <color rgb="FF57077B"/>
      <color rgb="FF6708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33"/>
  <sheetViews>
    <sheetView topLeftCell="A17" zoomScale="90" zoomScaleNormal="90" workbookViewId="0">
      <selection activeCell="H11" sqref="H11"/>
    </sheetView>
  </sheetViews>
  <sheetFormatPr defaultRowHeight="14.5"/>
  <cols>
    <col min="1" max="1" width="4" style="1" customWidth="1"/>
    <col min="2" max="2" width="3.453125" style="1" customWidth="1"/>
    <col min="3" max="3" width="3.6328125" customWidth="1"/>
    <col min="5" max="5" width="50.81640625" customWidth="1"/>
    <col min="6" max="6" width="6" customWidth="1"/>
    <col min="7" max="8" width="12.36328125" bestFit="1" customWidth="1"/>
    <col min="9" max="9" width="3.6328125" customWidth="1"/>
    <col min="10" max="10" width="8.90625" style="1"/>
    <col min="11" max="11" width="3.453125" customWidth="1"/>
    <col min="12" max="12" width="8.08984375" customWidth="1"/>
    <col min="13" max="13" width="12.6328125" customWidth="1"/>
    <col min="14" max="15" width="4" customWidth="1"/>
    <col min="21" max="21" width="27.81640625" customWidth="1"/>
    <col min="22" max="63" width="8.90625" style="1"/>
  </cols>
  <sheetData>
    <row r="1" spans="3:21" s="1" customFormat="1"/>
    <row r="2" spans="3:21" s="1" customFormat="1"/>
    <row r="3" spans="3:21" s="1" customFormat="1"/>
    <row r="4" spans="3:21" s="1" customFormat="1" ht="15" thickBot="1"/>
    <row r="5" spans="3:21">
      <c r="C5" s="27"/>
      <c r="D5" s="28"/>
      <c r="E5" s="15"/>
      <c r="F5" s="15"/>
      <c r="G5" s="15"/>
      <c r="H5" s="15"/>
      <c r="I5" s="16"/>
      <c r="K5" s="1"/>
      <c r="L5" s="27"/>
      <c r="M5" s="15"/>
      <c r="N5" s="15"/>
      <c r="O5" s="15"/>
      <c r="P5" s="15"/>
      <c r="Q5" s="15"/>
      <c r="R5" s="15"/>
      <c r="S5" s="15"/>
      <c r="T5" s="15"/>
      <c r="U5" s="16"/>
    </row>
    <row r="6" spans="3:21">
      <c r="C6" s="29"/>
      <c r="D6" s="8"/>
      <c r="E6" s="112" t="s">
        <v>5</v>
      </c>
      <c r="F6" s="112"/>
      <c r="G6" s="112"/>
      <c r="H6" s="8"/>
      <c r="I6" s="30"/>
      <c r="J6" s="12"/>
      <c r="K6" s="14"/>
      <c r="L6" s="17" t="s">
        <v>24</v>
      </c>
      <c r="M6" s="9"/>
      <c r="N6" s="10"/>
      <c r="O6" s="10"/>
      <c r="P6" s="10"/>
      <c r="Q6" s="10"/>
      <c r="R6" s="10"/>
      <c r="S6" s="10"/>
      <c r="T6" s="11"/>
      <c r="U6" s="18"/>
    </row>
    <row r="7" spans="3:21" ht="15" thickBot="1">
      <c r="C7" s="29"/>
      <c r="D7" s="8"/>
      <c r="E7" s="8"/>
      <c r="F7" s="8"/>
      <c r="G7" s="8"/>
      <c r="H7" s="8"/>
      <c r="I7" s="30"/>
      <c r="J7" s="14"/>
      <c r="K7" s="14"/>
      <c r="L7" s="17" t="s">
        <v>33</v>
      </c>
      <c r="M7" s="9"/>
      <c r="N7" s="10"/>
      <c r="O7" s="10"/>
      <c r="P7" s="10"/>
      <c r="Q7" s="10"/>
      <c r="R7" s="10"/>
      <c r="S7" s="10"/>
      <c r="T7" s="19"/>
      <c r="U7" s="20"/>
    </row>
    <row r="8" spans="3:21">
      <c r="C8" s="29"/>
      <c r="D8" s="88" t="s">
        <v>0</v>
      </c>
      <c r="E8" s="2" t="s">
        <v>1</v>
      </c>
      <c r="F8" s="2" t="s">
        <v>2</v>
      </c>
      <c r="G8" s="2" t="s">
        <v>3</v>
      </c>
      <c r="H8" s="3" t="s">
        <v>4</v>
      </c>
      <c r="I8" s="30"/>
      <c r="J8" s="14"/>
      <c r="K8" s="14"/>
      <c r="L8" s="17" t="s">
        <v>34</v>
      </c>
      <c r="M8" s="9"/>
      <c r="N8" s="10"/>
      <c r="O8" s="10"/>
      <c r="P8" s="10"/>
      <c r="Q8" s="10"/>
      <c r="R8" s="10"/>
      <c r="S8" s="10"/>
      <c r="T8" s="19"/>
      <c r="U8" s="20"/>
    </row>
    <row r="9" spans="3:21">
      <c r="C9" s="29"/>
      <c r="D9" s="89">
        <v>36892</v>
      </c>
      <c r="E9" s="87" t="s">
        <v>53</v>
      </c>
      <c r="F9" s="68"/>
      <c r="G9" s="96">
        <v>320000</v>
      </c>
      <c r="H9" s="97"/>
      <c r="I9" s="30"/>
      <c r="J9" s="14"/>
      <c r="K9" s="14"/>
      <c r="L9" s="29"/>
      <c r="M9" s="9"/>
      <c r="N9" s="10"/>
      <c r="O9" s="10"/>
      <c r="P9" s="10"/>
      <c r="Q9" s="10"/>
      <c r="R9" s="10"/>
      <c r="S9" s="10"/>
      <c r="T9" s="19"/>
      <c r="U9" s="20"/>
    </row>
    <row r="10" spans="3:21">
      <c r="C10" s="29"/>
      <c r="D10" s="90"/>
      <c r="E10" s="91" t="s">
        <v>54</v>
      </c>
      <c r="F10" s="64"/>
      <c r="G10" s="98"/>
      <c r="H10" s="99">
        <v>160000</v>
      </c>
      <c r="I10" s="30"/>
      <c r="J10" s="14"/>
      <c r="K10" s="14"/>
      <c r="L10" s="69">
        <v>36892</v>
      </c>
      <c r="M10" s="22" t="s">
        <v>28</v>
      </c>
      <c r="N10" s="10"/>
      <c r="O10" s="10"/>
      <c r="P10" s="10"/>
      <c r="Q10" s="10"/>
      <c r="R10" s="10"/>
      <c r="S10" s="10"/>
      <c r="T10" s="19"/>
      <c r="U10" s="20"/>
    </row>
    <row r="11" spans="3:21">
      <c r="C11" s="29"/>
      <c r="D11" s="90"/>
      <c r="E11" s="91" t="s">
        <v>55</v>
      </c>
      <c r="F11" s="64"/>
      <c r="G11" s="98"/>
      <c r="H11" s="99">
        <v>160000</v>
      </c>
      <c r="I11" s="30"/>
      <c r="J11" s="14"/>
      <c r="K11" s="14"/>
      <c r="L11" s="84">
        <v>36951</v>
      </c>
      <c r="M11" s="22" t="s">
        <v>29</v>
      </c>
      <c r="N11" s="10"/>
      <c r="O11" s="10"/>
      <c r="P11" s="10"/>
      <c r="Q11" s="10"/>
      <c r="R11" s="10"/>
      <c r="S11" s="10"/>
      <c r="T11" s="19"/>
      <c r="U11" s="20"/>
    </row>
    <row r="12" spans="3:21">
      <c r="C12" s="29"/>
      <c r="D12" s="90"/>
      <c r="E12" s="91"/>
      <c r="F12" s="64"/>
      <c r="G12" s="98"/>
      <c r="H12" s="99"/>
      <c r="I12" s="30"/>
      <c r="J12" s="25"/>
      <c r="K12" s="14"/>
      <c r="L12" s="84">
        <v>36982</v>
      </c>
      <c r="M12" s="22" t="s">
        <v>36</v>
      </c>
      <c r="N12" s="10"/>
      <c r="O12" s="10"/>
      <c r="P12" s="10"/>
      <c r="Q12" s="10"/>
      <c r="R12" s="10"/>
      <c r="S12" s="10"/>
      <c r="T12" s="11"/>
      <c r="U12" s="18"/>
    </row>
    <row r="13" spans="3:21">
      <c r="C13" s="29"/>
      <c r="D13" s="92">
        <v>36951</v>
      </c>
      <c r="E13" s="91" t="s">
        <v>56</v>
      </c>
      <c r="F13" s="64"/>
      <c r="G13" s="98">
        <f>5000*105</f>
        <v>525000</v>
      </c>
      <c r="H13" s="99"/>
      <c r="I13" s="30"/>
      <c r="J13" s="14"/>
      <c r="K13" s="14"/>
      <c r="L13" s="67"/>
      <c r="M13" s="22" t="s">
        <v>35</v>
      </c>
      <c r="N13" s="10"/>
      <c r="O13" s="10"/>
      <c r="P13" s="10"/>
      <c r="Q13" s="10"/>
      <c r="R13" s="10"/>
      <c r="S13" s="10"/>
      <c r="T13" s="11"/>
      <c r="U13" s="18"/>
    </row>
    <row r="14" spans="3:21">
      <c r="C14" s="29"/>
      <c r="D14" s="90"/>
      <c r="E14" s="91" t="s">
        <v>57</v>
      </c>
      <c r="F14" s="64"/>
      <c r="G14" s="98"/>
      <c r="H14" s="99">
        <v>500000</v>
      </c>
      <c r="I14" s="30"/>
      <c r="J14" s="26"/>
      <c r="K14" s="14"/>
      <c r="L14" s="84">
        <v>37012</v>
      </c>
      <c r="M14" s="22" t="s">
        <v>30</v>
      </c>
      <c r="N14" s="10"/>
      <c r="O14" s="10"/>
      <c r="P14" s="10"/>
      <c r="Q14" s="10"/>
      <c r="R14" s="10"/>
      <c r="S14" s="10"/>
      <c r="T14" s="11"/>
      <c r="U14" s="18"/>
    </row>
    <row r="15" spans="3:21">
      <c r="C15" s="29"/>
      <c r="D15" s="90"/>
      <c r="E15" s="91" t="s">
        <v>58</v>
      </c>
      <c r="F15" s="64"/>
      <c r="G15" s="98"/>
      <c r="H15" s="99">
        <v>25000</v>
      </c>
      <c r="I15" s="30"/>
      <c r="J15" s="26"/>
      <c r="K15" s="14"/>
      <c r="L15" s="84">
        <v>37104</v>
      </c>
      <c r="M15" s="22" t="s">
        <v>38</v>
      </c>
      <c r="N15" s="10"/>
      <c r="O15" s="10"/>
      <c r="P15" s="10"/>
      <c r="Q15" s="10"/>
      <c r="R15" s="10"/>
      <c r="S15" s="10"/>
      <c r="T15" s="11"/>
      <c r="U15" s="18"/>
    </row>
    <row r="16" spans="3:21">
      <c r="C16" s="29"/>
      <c r="D16" s="90"/>
      <c r="E16" s="91"/>
      <c r="F16" s="64"/>
      <c r="G16" s="98"/>
      <c r="H16" s="99"/>
      <c r="I16" s="30"/>
      <c r="J16" s="26"/>
      <c r="K16" s="14"/>
      <c r="L16" s="67"/>
      <c r="M16" s="22" t="s">
        <v>37</v>
      </c>
      <c r="N16" s="10"/>
      <c r="O16" s="10"/>
      <c r="P16" s="10"/>
      <c r="Q16" s="10"/>
      <c r="R16" s="10"/>
      <c r="S16" s="10"/>
      <c r="T16" s="11"/>
      <c r="U16" s="18"/>
    </row>
    <row r="17" spans="3:21">
      <c r="C17" s="29"/>
      <c r="D17" s="92">
        <v>36982</v>
      </c>
      <c r="E17" s="91" t="s">
        <v>59</v>
      </c>
      <c r="F17" s="64"/>
      <c r="G17" s="98">
        <v>85000</v>
      </c>
      <c r="H17" s="99"/>
      <c r="I17" s="30"/>
      <c r="J17" s="26"/>
      <c r="K17" s="14"/>
      <c r="L17" s="84">
        <v>37135</v>
      </c>
      <c r="M17" s="22" t="s">
        <v>31</v>
      </c>
      <c r="N17" s="10"/>
      <c r="O17" s="10"/>
      <c r="P17" s="10"/>
      <c r="Q17" s="10"/>
      <c r="R17" s="10"/>
      <c r="S17" s="10"/>
      <c r="T17" s="11"/>
      <c r="U17" s="18"/>
    </row>
    <row r="18" spans="3:21">
      <c r="C18" s="29"/>
      <c r="D18" s="90"/>
      <c r="E18" s="91" t="s">
        <v>60</v>
      </c>
      <c r="F18" s="64"/>
      <c r="G18" s="98"/>
      <c r="H18" s="99">
        <v>48000</v>
      </c>
      <c r="I18" s="30"/>
      <c r="J18" s="14"/>
      <c r="K18" s="14"/>
      <c r="L18" s="84">
        <v>37165</v>
      </c>
      <c r="M18" s="22" t="s">
        <v>32</v>
      </c>
      <c r="N18" s="10"/>
      <c r="O18" s="10"/>
      <c r="P18" s="10"/>
      <c r="Q18" s="10"/>
      <c r="R18" s="10"/>
      <c r="S18" s="10"/>
      <c r="T18" s="11"/>
      <c r="U18" s="18"/>
    </row>
    <row r="19" spans="3:21">
      <c r="C19" s="29"/>
      <c r="D19" s="90"/>
      <c r="E19" s="91" t="s">
        <v>61</v>
      </c>
      <c r="F19" s="64"/>
      <c r="G19" s="98"/>
      <c r="H19" s="99">
        <f>G17-H18</f>
        <v>37000</v>
      </c>
      <c r="I19" s="30"/>
      <c r="J19" s="26"/>
      <c r="K19" s="14"/>
      <c r="L19" s="67"/>
      <c r="M19" s="22"/>
      <c r="N19" s="10"/>
      <c r="O19" s="10"/>
      <c r="P19" s="10"/>
      <c r="Q19" s="10"/>
      <c r="R19" s="10"/>
      <c r="S19" s="10"/>
      <c r="T19" s="11"/>
      <c r="U19" s="18"/>
    </row>
    <row r="20" spans="3:21">
      <c r="C20" s="29"/>
      <c r="D20" s="90"/>
      <c r="E20" s="91"/>
      <c r="F20" s="64"/>
      <c r="G20" s="98"/>
      <c r="H20" s="99"/>
      <c r="I20" s="30"/>
      <c r="J20" s="26"/>
      <c r="K20" s="14"/>
      <c r="L20" s="67"/>
      <c r="M20" s="22"/>
      <c r="N20" s="10"/>
      <c r="O20" s="10"/>
      <c r="P20" s="10"/>
      <c r="Q20" s="10"/>
      <c r="R20" s="10"/>
      <c r="S20" s="10"/>
      <c r="T20" s="11"/>
      <c r="U20" s="18"/>
    </row>
    <row r="21" spans="3:21">
      <c r="C21" s="29"/>
      <c r="D21" s="92">
        <v>37012</v>
      </c>
      <c r="E21" s="91" t="s">
        <v>62</v>
      </c>
      <c r="F21" s="64"/>
      <c r="G21" s="98">
        <f>80000*4.5</f>
        <v>360000</v>
      </c>
      <c r="H21" s="99"/>
      <c r="I21" s="30"/>
      <c r="K21" s="1"/>
      <c r="L21" s="70" t="s">
        <v>6</v>
      </c>
      <c r="M21" s="22"/>
      <c r="N21" s="22"/>
      <c r="O21" s="22"/>
      <c r="P21" s="22"/>
      <c r="Q21" s="22"/>
      <c r="R21" s="22"/>
      <c r="S21" s="22"/>
      <c r="T21" s="22"/>
      <c r="U21" s="35"/>
    </row>
    <row r="22" spans="3:21">
      <c r="C22" s="29"/>
      <c r="D22" s="90"/>
      <c r="E22" s="91" t="s">
        <v>54</v>
      </c>
      <c r="F22" s="64"/>
      <c r="G22" s="98"/>
      <c r="H22" s="99">
        <v>160000</v>
      </c>
      <c r="I22" s="30"/>
      <c r="K22" s="1"/>
      <c r="L22" s="71" t="s">
        <v>7</v>
      </c>
      <c r="M22" s="22" t="s">
        <v>27</v>
      </c>
      <c r="N22" s="22"/>
      <c r="O22" s="22"/>
      <c r="P22" s="22"/>
      <c r="Q22" s="22"/>
      <c r="R22" s="22"/>
      <c r="S22" s="22"/>
      <c r="T22" s="22"/>
      <c r="U22" s="35"/>
    </row>
    <row r="23" spans="3:21">
      <c r="C23" s="29"/>
      <c r="D23" s="90"/>
      <c r="E23" s="91" t="s">
        <v>61</v>
      </c>
      <c r="F23" s="64"/>
      <c r="G23" s="98"/>
      <c r="H23" s="99">
        <f>G21-H22</f>
        <v>200000</v>
      </c>
      <c r="I23" s="30"/>
      <c r="J23" s="13"/>
      <c r="K23" s="1"/>
      <c r="L23" s="21" t="s">
        <v>22</v>
      </c>
      <c r="M23" s="22" t="s">
        <v>25</v>
      </c>
      <c r="N23" s="22"/>
      <c r="O23" s="22"/>
      <c r="P23" s="22"/>
      <c r="Q23" s="22"/>
      <c r="R23" s="22"/>
      <c r="S23" s="22"/>
      <c r="T23" s="22"/>
      <c r="U23" s="35"/>
    </row>
    <row r="24" spans="3:21">
      <c r="C24" s="29"/>
      <c r="D24" s="90"/>
      <c r="E24" s="91"/>
      <c r="F24" s="64"/>
      <c r="G24" s="98"/>
      <c r="H24" s="99"/>
      <c r="I24" s="30"/>
      <c r="J24" s="13"/>
      <c r="K24" s="1"/>
      <c r="L24" s="21" t="s">
        <v>23</v>
      </c>
      <c r="M24" s="22" t="s">
        <v>26</v>
      </c>
      <c r="N24" s="10"/>
      <c r="O24" s="10"/>
      <c r="P24" s="8"/>
      <c r="Q24" s="8"/>
      <c r="R24" s="8"/>
      <c r="S24" s="8"/>
      <c r="T24" s="8"/>
      <c r="U24" s="30"/>
    </row>
    <row r="25" spans="3:21">
      <c r="C25" s="29"/>
      <c r="D25" s="92">
        <v>37104</v>
      </c>
      <c r="E25" s="91" t="s">
        <v>63</v>
      </c>
      <c r="F25" s="64"/>
      <c r="G25" s="98">
        <v>30000</v>
      </c>
      <c r="H25" s="99"/>
      <c r="I25" s="30"/>
      <c r="J25" s="13"/>
      <c r="K25" s="1"/>
      <c r="L25" s="21"/>
      <c r="M25" s="22"/>
      <c r="N25" s="10"/>
      <c r="O25" s="10"/>
      <c r="P25" s="8"/>
      <c r="Q25" s="8"/>
      <c r="R25" s="8"/>
      <c r="S25" s="8"/>
      <c r="T25" s="8"/>
      <c r="U25" s="30"/>
    </row>
    <row r="26" spans="3:21" ht="15" thickBot="1">
      <c r="C26" s="29"/>
      <c r="D26" s="90"/>
      <c r="E26" s="91" t="s">
        <v>65</v>
      </c>
      <c r="F26" s="64"/>
      <c r="G26" s="98"/>
      <c r="H26" s="99">
        <v>20000</v>
      </c>
      <c r="I26" s="30"/>
      <c r="J26" s="13"/>
      <c r="K26" s="1"/>
      <c r="L26" s="31"/>
      <c r="M26" s="32"/>
      <c r="N26" s="32"/>
      <c r="O26" s="32"/>
      <c r="P26" s="32"/>
      <c r="Q26" s="32"/>
      <c r="R26" s="32"/>
      <c r="S26" s="32"/>
      <c r="T26" s="32"/>
      <c r="U26" s="33"/>
    </row>
    <row r="27" spans="3:21">
      <c r="C27" s="29"/>
      <c r="D27" s="90"/>
      <c r="E27" s="91" t="s">
        <v>61</v>
      </c>
      <c r="F27" s="64"/>
      <c r="G27" s="98"/>
      <c r="H27" s="99">
        <v>10000</v>
      </c>
      <c r="I27" s="30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3:21">
      <c r="C28" s="29"/>
      <c r="D28" s="90"/>
      <c r="E28" s="91"/>
      <c r="F28" s="64"/>
      <c r="G28" s="98"/>
      <c r="H28" s="99"/>
      <c r="I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3:21">
      <c r="C29" s="29"/>
      <c r="D29" s="92">
        <v>37135</v>
      </c>
      <c r="E29" s="91" t="s">
        <v>64</v>
      </c>
      <c r="F29" s="64"/>
      <c r="G29" s="98">
        <v>50000</v>
      </c>
      <c r="H29" s="99"/>
      <c r="I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3:21" ht="15" thickBot="1">
      <c r="C30" s="29"/>
      <c r="D30" s="90"/>
      <c r="E30" s="91" t="s">
        <v>65</v>
      </c>
      <c r="F30" s="64"/>
      <c r="G30" s="98"/>
      <c r="H30" s="99">
        <v>20000</v>
      </c>
      <c r="I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3:21">
      <c r="C31" s="29"/>
      <c r="D31" s="90"/>
      <c r="E31" s="91" t="s">
        <v>61</v>
      </c>
      <c r="F31" s="64"/>
      <c r="G31" s="98"/>
      <c r="H31" s="99">
        <v>30000</v>
      </c>
      <c r="I31" s="30"/>
      <c r="K31" s="1"/>
      <c r="L31" s="23"/>
      <c r="M31" s="72"/>
      <c r="N31" s="73"/>
      <c r="O31" s="74" t="s">
        <v>8</v>
      </c>
      <c r="P31" s="75" t="s">
        <v>9</v>
      </c>
      <c r="Q31" s="1"/>
      <c r="R31" s="1"/>
      <c r="S31" s="1"/>
      <c r="T31" s="1"/>
      <c r="U31" s="1"/>
    </row>
    <row r="32" spans="3:21" ht="15.5">
      <c r="C32" s="29"/>
      <c r="D32" s="90"/>
      <c r="E32" s="91"/>
      <c r="F32" s="64"/>
      <c r="G32" s="98"/>
      <c r="H32" s="99"/>
      <c r="I32" s="30"/>
      <c r="K32" s="1"/>
      <c r="L32" s="76"/>
      <c r="M32" s="77" t="s">
        <v>10</v>
      </c>
      <c r="N32" s="78" t="s">
        <v>11</v>
      </c>
      <c r="O32" s="79" t="s">
        <v>12</v>
      </c>
      <c r="P32" s="80" t="s">
        <v>13</v>
      </c>
      <c r="Q32" s="1"/>
      <c r="R32" s="1"/>
      <c r="S32" s="1"/>
      <c r="T32" s="1"/>
      <c r="U32" s="1"/>
    </row>
    <row r="33" spans="3:21" ht="15.5">
      <c r="C33" s="29"/>
      <c r="D33" s="92">
        <v>37165</v>
      </c>
      <c r="E33" s="91" t="s">
        <v>66</v>
      </c>
      <c r="F33" s="64"/>
      <c r="G33" s="98">
        <v>109000</v>
      </c>
      <c r="H33" s="99"/>
      <c r="I33" s="30"/>
      <c r="K33" s="1"/>
      <c r="L33" s="76"/>
      <c r="M33" s="77" t="s">
        <v>14</v>
      </c>
      <c r="N33" s="78" t="s">
        <v>15</v>
      </c>
      <c r="O33" s="79" t="s">
        <v>13</v>
      </c>
      <c r="P33" s="80" t="s">
        <v>12</v>
      </c>
      <c r="Q33" s="1"/>
      <c r="R33" s="1"/>
      <c r="S33" s="1"/>
      <c r="T33" s="1"/>
      <c r="U33" s="1"/>
    </row>
    <row r="34" spans="3:21" ht="15.5">
      <c r="C34" s="29"/>
      <c r="D34" s="90"/>
      <c r="E34" s="91" t="s">
        <v>67</v>
      </c>
      <c r="F34" s="64"/>
      <c r="G34" s="98"/>
      <c r="H34" s="99">
        <v>100000</v>
      </c>
      <c r="I34" s="30"/>
      <c r="K34" s="1"/>
      <c r="L34" s="76"/>
      <c r="M34" s="77" t="s">
        <v>16</v>
      </c>
      <c r="N34" s="78" t="s">
        <v>17</v>
      </c>
      <c r="O34" s="79" t="s">
        <v>13</v>
      </c>
      <c r="P34" s="80" t="s">
        <v>12</v>
      </c>
      <c r="Q34" s="1"/>
      <c r="R34" s="1"/>
      <c r="S34" s="1"/>
      <c r="T34" s="1"/>
      <c r="U34" s="1"/>
    </row>
    <row r="35" spans="3:21" ht="15.5">
      <c r="C35" s="29"/>
      <c r="D35" s="90"/>
      <c r="E35" s="91" t="s">
        <v>58</v>
      </c>
      <c r="F35" s="64"/>
      <c r="G35" s="98"/>
      <c r="H35" s="99">
        <v>9000</v>
      </c>
      <c r="I35" s="30"/>
      <c r="K35" s="1"/>
      <c r="L35" s="76"/>
      <c r="M35" s="77" t="s">
        <v>18</v>
      </c>
      <c r="N35" s="78" t="s">
        <v>19</v>
      </c>
      <c r="O35" s="79" t="s">
        <v>13</v>
      </c>
      <c r="P35" s="80" t="s">
        <v>12</v>
      </c>
      <c r="Q35" s="1"/>
      <c r="R35" s="1"/>
      <c r="S35" s="1"/>
      <c r="T35" s="1"/>
      <c r="U35" s="1"/>
    </row>
    <row r="36" spans="3:21" ht="16" thickBot="1">
      <c r="C36" s="29"/>
      <c r="D36" s="93"/>
      <c r="E36" s="94"/>
      <c r="F36" s="94"/>
      <c r="G36" s="94"/>
      <c r="H36" s="95"/>
      <c r="I36" s="30"/>
      <c r="K36" s="1"/>
      <c r="L36" s="76"/>
      <c r="M36" s="81" t="s">
        <v>20</v>
      </c>
      <c r="N36" s="82" t="s">
        <v>21</v>
      </c>
      <c r="O36" s="24" t="s">
        <v>12</v>
      </c>
      <c r="P36" s="83" t="s">
        <v>13</v>
      </c>
      <c r="Q36" s="1"/>
      <c r="R36" s="1"/>
      <c r="S36" s="1"/>
      <c r="T36" s="1"/>
      <c r="U36" s="1"/>
    </row>
    <row r="37" spans="3:21" ht="15" thickBot="1">
      <c r="C37" s="31"/>
      <c r="D37" s="32"/>
      <c r="E37" s="32"/>
      <c r="F37" s="32"/>
      <c r="G37" s="32"/>
      <c r="H37" s="32"/>
      <c r="I37" s="3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3:21"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3:21"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3:21">
      <c r="C40" s="1"/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3:21">
      <c r="C41" s="1"/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3:21">
      <c r="C42" s="1"/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3:21">
      <c r="C43" s="1"/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3:21">
      <c r="C44" s="1"/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3:21">
      <c r="C45" s="1"/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3:21">
      <c r="C46" s="1"/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3:21">
      <c r="C47" s="1"/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3:21">
      <c r="C48" s="1"/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3:21"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3:21">
      <c r="C50" s="1"/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3:21">
      <c r="C51" s="1"/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3:21"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3:21">
      <c r="C53" s="1"/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3:21">
      <c r="C54" s="1"/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3:21">
      <c r="C55" s="1"/>
      <c r="D55" s="1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3:21">
      <c r="C56" s="1"/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3:21">
      <c r="C57" s="1"/>
      <c r="D57" s="1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3:21"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3:21">
      <c r="C59" s="1"/>
      <c r="D59" s="1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3:21"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3:21"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3:21">
      <c r="C62" s="1"/>
      <c r="D62" s="1"/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3:21">
      <c r="C63" s="1"/>
      <c r="D63" s="1"/>
      <c r="E63" s="1"/>
      <c r="F63" s="1"/>
      <c r="G63" s="1"/>
      <c r="H63" s="1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3:21"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3:21">
      <c r="C65" s="1"/>
      <c r="D65" s="1"/>
      <c r="E65" s="1"/>
      <c r="F65" s="1"/>
      <c r="G65" s="1"/>
      <c r="H65" s="1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3:21">
      <c r="C66" s="1"/>
      <c r="D66" s="1"/>
      <c r="E66" s="1"/>
      <c r="F66" s="1"/>
      <c r="G66" s="1"/>
      <c r="H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3:21">
      <c r="C67" s="1"/>
      <c r="D67" s="1"/>
      <c r="E67" s="1"/>
      <c r="F67" s="1"/>
      <c r="G67" s="1"/>
      <c r="H67" s="1"/>
      <c r="I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3:21">
      <c r="C68" s="1"/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3:21">
      <c r="C69" s="1"/>
      <c r="D69" s="1"/>
      <c r="E69" s="1"/>
      <c r="F69" s="1"/>
      <c r="G69" s="1"/>
      <c r="H69" s="1"/>
      <c r="I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3:21">
      <c r="C70" s="1"/>
      <c r="D70" s="1"/>
      <c r="E70" s="1"/>
      <c r="F70" s="1"/>
      <c r="G70" s="1"/>
      <c r="H70" s="1"/>
      <c r="I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3:21"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3:21">
      <c r="C72" s="1"/>
      <c r="D72" s="1"/>
      <c r="E72" s="1"/>
      <c r="F72" s="1"/>
      <c r="G72" s="1"/>
      <c r="H72" s="1"/>
      <c r="I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3:21"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3:21">
      <c r="C74" s="1"/>
      <c r="D74" s="1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3:21">
      <c r="C75" s="1"/>
      <c r="D75" s="1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3:21"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3:21">
      <c r="C77" s="1"/>
      <c r="D77" s="1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3:21">
      <c r="C78" s="1"/>
      <c r="D78" s="1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3:21">
      <c r="C79" s="1"/>
      <c r="D79" s="1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3:21">
      <c r="C80" s="1"/>
      <c r="D80" s="1"/>
      <c r="E80" s="1"/>
      <c r="F80" s="1"/>
      <c r="G80" s="1"/>
      <c r="H80" s="1"/>
      <c r="I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3:21">
      <c r="C81" s="1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3:21">
      <c r="C82" s="1"/>
      <c r="D82" s="1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3:21">
      <c r="C83" s="1"/>
      <c r="D83" s="1"/>
      <c r="E83" s="1"/>
      <c r="F83" s="1"/>
      <c r="G83" s="1"/>
      <c r="H83" s="1"/>
      <c r="I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3:21">
      <c r="C84" s="1"/>
      <c r="D84" s="1"/>
      <c r="E84" s="1"/>
      <c r="F84" s="1"/>
      <c r="G84" s="1"/>
      <c r="H84" s="1"/>
      <c r="I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3:21">
      <c r="C85" s="1"/>
      <c r="D85" s="1"/>
      <c r="E85" s="1"/>
      <c r="F85" s="1"/>
      <c r="G85" s="1"/>
      <c r="H85" s="1"/>
      <c r="I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3:21">
      <c r="C86" s="1"/>
      <c r="D86" s="1"/>
      <c r="E86" s="1"/>
      <c r="F86" s="1"/>
      <c r="G86" s="1"/>
      <c r="H86" s="1"/>
      <c r="I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3:21">
      <c r="C87" s="1"/>
      <c r="D87" s="1"/>
      <c r="E87" s="1"/>
      <c r="F87" s="1"/>
      <c r="G87" s="1"/>
      <c r="H87" s="1"/>
      <c r="I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3:21">
      <c r="C88" s="1"/>
      <c r="D88" s="1"/>
      <c r="E88" s="1"/>
      <c r="F88" s="1"/>
      <c r="G88" s="1"/>
      <c r="H88" s="1"/>
      <c r="I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3:21">
      <c r="C89" s="1"/>
      <c r="D89" s="1"/>
      <c r="E89" s="1"/>
      <c r="F89" s="1"/>
      <c r="G89" s="1"/>
      <c r="H89" s="1"/>
      <c r="I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3:21">
      <c r="C90" s="1"/>
      <c r="D90" s="1"/>
      <c r="E90" s="1"/>
      <c r="F90" s="1"/>
      <c r="G90" s="1"/>
      <c r="H90" s="1"/>
      <c r="I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3:21">
      <c r="C91" s="1"/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3:21">
      <c r="C92" s="1"/>
      <c r="D92" s="1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3:21">
      <c r="C93" s="1"/>
      <c r="D93" s="1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3:21">
      <c r="C94" s="1"/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3:21">
      <c r="C95" s="1"/>
      <c r="D95" s="1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3:21">
      <c r="C96" s="1"/>
      <c r="D96" s="1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3:21">
      <c r="C97" s="1"/>
      <c r="D97" s="1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3:21">
      <c r="C98" s="1"/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3:21">
      <c r="C99" s="1"/>
      <c r="D99" s="1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3:21">
      <c r="C100" s="1"/>
      <c r="D100" s="1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3:21">
      <c r="C101" s="1"/>
      <c r="D101" s="1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3:21">
      <c r="C102" s="1"/>
      <c r="D102" s="1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3:21">
      <c r="C103" s="1"/>
      <c r="D103" s="1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3:21">
      <c r="C104" s="1"/>
      <c r="D104" s="1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3:21">
      <c r="C105" s="1"/>
      <c r="D105" s="1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3:21">
      <c r="C106" s="1"/>
      <c r="D106" s="1"/>
      <c r="E106" s="1"/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3:21">
      <c r="C107" s="1"/>
      <c r="D107" s="1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3:21">
      <c r="C108" s="1"/>
      <c r="D108" s="1"/>
      <c r="E108" s="1"/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3:21">
      <c r="C109" s="1"/>
      <c r="D109" s="1"/>
      <c r="E109" s="1"/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3:21">
      <c r="C110" s="1"/>
      <c r="D110" s="1"/>
      <c r="E110" s="1"/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3:21">
      <c r="C111" s="1"/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3:21">
      <c r="C112" s="1"/>
      <c r="D112" s="1"/>
      <c r="E112" s="1"/>
      <c r="F112" s="1"/>
      <c r="G112" s="1"/>
      <c r="H112" s="1"/>
      <c r="I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3:21">
      <c r="C113" s="1"/>
      <c r="D113" s="1"/>
      <c r="E113" s="1"/>
      <c r="F113" s="1"/>
      <c r="G113" s="1"/>
      <c r="H113" s="1"/>
      <c r="I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3:21">
      <c r="C114" s="1"/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3:21">
      <c r="C115" s="1"/>
      <c r="D115" s="1"/>
      <c r="E115" s="1"/>
      <c r="F115" s="1"/>
      <c r="G115" s="1"/>
      <c r="H115" s="1"/>
      <c r="I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3:21">
      <c r="C116" s="1"/>
      <c r="D116" s="1"/>
      <c r="E116" s="1"/>
      <c r="F116" s="1"/>
      <c r="G116" s="1"/>
      <c r="H116" s="1"/>
      <c r="I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3:21">
      <c r="C117" s="1"/>
      <c r="D117" s="1"/>
      <c r="E117" s="1"/>
      <c r="F117" s="1"/>
      <c r="G117" s="1"/>
      <c r="H117" s="1"/>
      <c r="I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3:21">
      <c r="C118" s="1"/>
      <c r="D118" s="1"/>
      <c r="E118" s="1"/>
      <c r="F118" s="1"/>
      <c r="G118" s="1"/>
      <c r="H118" s="1"/>
      <c r="I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3:21">
      <c r="C119" s="1"/>
      <c r="D119" s="1"/>
      <c r="E119" s="1"/>
      <c r="F119" s="1"/>
      <c r="G119" s="1"/>
      <c r="H119" s="1"/>
      <c r="I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3:21">
      <c r="C120" s="1"/>
      <c r="D120" s="1"/>
      <c r="E120" s="1"/>
      <c r="F120" s="1"/>
      <c r="G120" s="1"/>
      <c r="H120" s="1"/>
      <c r="I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3:21">
      <c r="C121" s="1"/>
      <c r="D121" s="1"/>
      <c r="E121" s="1"/>
      <c r="F121" s="1"/>
      <c r="G121" s="1"/>
      <c r="H121" s="1"/>
      <c r="I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3:21">
      <c r="C122" s="1"/>
      <c r="D122" s="1"/>
      <c r="E122" s="1"/>
      <c r="F122" s="1"/>
      <c r="G122" s="1"/>
      <c r="H122" s="1"/>
      <c r="I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3:21">
      <c r="C123" s="1"/>
      <c r="D123" s="1"/>
      <c r="E123" s="1"/>
      <c r="F123" s="1"/>
      <c r="G123" s="1"/>
      <c r="H123" s="1"/>
      <c r="I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3:21">
      <c r="C124" s="1"/>
      <c r="D124" s="1"/>
      <c r="E124" s="1"/>
      <c r="F124" s="1"/>
      <c r="G124" s="1"/>
      <c r="H124" s="1"/>
      <c r="I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3:21">
      <c r="C125" s="1"/>
      <c r="D125" s="1"/>
      <c r="E125" s="1"/>
      <c r="F125" s="1"/>
      <c r="G125" s="1"/>
      <c r="H125" s="1"/>
      <c r="I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3:21">
      <c r="C126" s="1"/>
      <c r="D126" s="1"/>
      <c r="E126" s="1"/>
      <c r="F126" s="1"/>
      <c r="G126" s="1"/>
      <c r="H126" s="1"/>
      <c r="I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3:21">
      <c r="C127" s="1"/>
      <c r="D127" s="1"/>
      <c r="E127" s="1"/>
      <c r="F127" s="1"/>
      <c r="G127" s="1"/>
      <c r="H127" s="1"/>
      <c r="I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3:21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</sheetData>
  <mergeCells count="1">
    <mergeCell ref="E6:G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216"/>
  <sheetViews>
    <sheetView tabSelected="1" zoomScale="60" zoomScaleNormal="90" workbookViewId="0">
      <selection activeCell="E25" sqref="E25"/>
    </sheetView>
  </sheetViews>
  <sheetFormatPr defaultRowHeight="14.5"/>
  <cols>
    <col min="1" max="1" width="4" style="1" customWidth="1"/>
    <col min="2" max="2" width="3.453125" style="1" customWidth="1"/>
    <col min="3" max="3" width="3.6328125" customWidth="1"/>
    <col min="5" max="5" width="38.6328125" customWidth="1"/>
    <col min="6" max="6" width="9" customWidth="1"/>
    <col min="7" max="8" width="12.1796875" bestFit="1" customWidth="1"/>
    <col min="9" max="9" width="3.6328125" customWidth="1"/>
    <col min="10" max="10" width="8.7265625" style="1"/>
    <col min="11" max="11" width="3.453125" customWidth="1"/>
    <col min="12" max="12" width="10.90625" customWidth="1"/>
    <col min="13" max="13" width="8.08984375" customWidth="1"/>
    <col min="14" max="14" width="12.6328125" customWidth="1"/>
    <col min="15" max="16" width="4" customWidth="1"/>
    <col min="22" max="22" width="27.81640625" customWidth="1"/>
    <col min="23" max="63" width="8.7265625" style="1"/>
  </cols>
  <sheetData>
    <row r="1" spans="3:22" s="1" customFormat="1"/>
    <row r="2" spans="3:22" s="1" customFormat="1"/>
    <row r="3" spans="3:22" s="1" customFormat="1"/>
    <row r="4" spans="3:22" s="1" customFormat="1" ht="15" thickBot="1"/>
    <row r="5" spans="3:22" ht="15" thickBot="1">
      <c r="C5" s="1"/>
      <c r="D5" s="37"/>
      <c r="E5" s="37"/>
      <c r="F5" s="1"/>
      <c r="G5" s="1"/>
      <c r="H5" s="1"/>
      <c r="I5" s="1"/>
      <c r="K5" s="1"/>
      <c r="L5" s="1"/>
      <c r="M5" s="27"/>
      <c r="N5" s="15"/>
      <c r="O5" s="15"/>
      <c r="P5" s="15"/>
      <c r="Q5" s="15"/>
      <c r="R5" s="15"/>
      <c r="S5" s="15"/>
      <c r="T5" s="15"/>
      <c r="U5" s="15"/>
      <c r="V5" s="16"/>
    </row>
    <row r="6" spans="3:22" ht="15" thickBot="1">
      <c r="C6" s="41"/>
      <c r="D6" s="43"/>
      <c r="E6" s="113" t="s">
        <v>57</v>
      </c>
      <c r="F6" s="113"/>
      <c r="G6" s="113"/>
      <c r="H6" s="43"/>
      <c r="I6" s="44"/>
      <c r="J6" s="12"/>
      <c r="K6" s="14"/>
      <c r="L6" s="1"/>
      <c r="M6" s="17" t="s">
        <v>24</v>
      </c>
      <c r="N6" s="9"/>
      <c r="O6" s="10"/>
      <c r="P6" s="10"/>
      <c r="Q6" s="10"/>
      <c r="R6" s="10"/>
      <c r="S6" s="10"/>
      <c r="T6" s="10"/>
      <c r="U6" s="11"/>
      <c r="V6" s="18"/>
    </row>
    <row r="7" spans="3:22">
      <c r="C7" s="45"/>
      <c r="D7" s="88" t="s">
        <v>0</v>
      </c>
      <c r="E7" s="2" t="s">
        <v>68</v>
      </c>
      <c r="F7" s="2" t="s">
        <v>69</v>
      </c>
      <c r="G7" s="2" t="s">
        <v>4</v>
      </c>
      <c r="H7" s="3" t="s">
        <v>70</v>
      </c>
      <c r="I7" s="47"/>
      <c r="J7" s="14"/>
      <c r="K7" s="14"/>
      <c r="L7" s="1"/>
      <c r="M7" s="17" t="s">
        <v>33</v>
      </c>
      <c r="N7" s="9"/>
      <c r="O7" s="10"/>
      <c r="P7" s="10"/>
      <c r="Q7" s="10"/>
      <c r="R7" s="10"/>
      <c r="S7" s="10"/>
      <c r="T7" s="10"/>
      <c r="U7" s="19"/>
      <c r="V7" s="20"/>
    </row>
    <row r="8" spans="3:22">
      <c r="C8" s="45"/>
      <c r="D8" s="92">
        <v>36951</v>
      </c>
      <c r="E8" s="64" t="s">
        <v>71</v>
      </c>
      <c r="F8" s="4"/>
      <c r="G8" s="98">
        <v>500000</v>
      </c>
      <c r="H8" s="99">
        <v>500000</v>
      </c>
      <c r="I8" s="47"/>
      <c r="J8" s="14"/>
      <c r="K8" s="14"/>
      <c r="L8" s="1"/>
      <c r="M8" s="17" t="s">
        <v>34</v>
      </c>
      <c r="N8" s="9"/>
      <c r="O8" s="10"/>
      <c r="P8" s="10"/>
      <c r="Q8" s="10"/>
      <c r="R8" s="10"/>
      <c r="S8" s="10"/>
      <c r="T8" s="10"/>
      <c r="U8" s="19"/>
      <c r="V8" s="20"/>
    </row>
    <row r="9" spans="3:22">
      <c r="C9" s="45"/>
      <c r="D9" s="92">
        <v>37165</v>
      </c>
      <c r="E9" s="64" t="s">
        <v>71</v>
      </c>
      <c r="F9" s="4"/>
      <c r="G9" s="98">
        <v>100000</v>
      </c>
      <c r="H9" s="99">
        <v>600000</v>
      </c>
      <c r="I9" s="47"/>
      <c r="J9" s="14"/>
      <c r="K9" s="14"/>
      <c r="L9" s="1"/>
      <c r="M9" s="29"/>
      <c r="N9" s="9"/>
      <c r="O9" s="10"/>
      <c r="P9" s="10"/>
      <c r="Q9" s="10"/>
      <c r="R9" s="10"/>
      <c r="S9" s="10"/>
      <c r="T9" s="10"/>
      <c r="U9" s="19"/>
      <c r="V9" s="20"/>
    </row>
    <row r="10" spans="3:22" ht="15" thickBot="1">
      <c r="C10" s="45"/>
      <c r="D10" s="93"/>
      <c r="E10" s="94"/>
      <c r="F10" s="94"/>
      <c r="G10" s="94"/>
      <c r="H10" s="95"/>
      <c r="I10" s="47"/>
      <c r="J10" s="14"/>
      <c r="K10" s="14"/>
      <c r="L10" s="36"/>
      <c r="M10" s="69">
        <v>36892</v>
      </c>
      <c r="N10" s="22" t="s">
        <v>28</v>
      </c>
      <c r="O10" s="10"/>
      <c r="P10" s="10"/>
      <c r="Q10" s="10"/>
      <c r="R10" s="10"/>
      <c r="S10" s="10"/>
      <c r="T10" s="10"/>
      <c r="U10" s="19"/>
      <c r="V10" s="20"/>
    </row>
    <row r="11" spans="3:22" ht="15" thickBot="1">
      <c r="C11" s="101"/>
      <c r="D11" s="103"/>
      <c r="E11" s="103"/>
      <c r="F11" s="103"/>
      <c r="G11" s="103"/>
      <c r="H11" s="103"/>
      <c r="I11" s="102"/>
      <c r="J11" s="14"/>
      <c r="K11" s="14"/>
      <c r="L11" s="37"/>
      <c r="M11" s="84">
        <v>36951</v>
      </c>
      <c r="N11" s="22" t="s">
        <v>29</v>
      </c>
      <c r="O11" s="10"/>
      <c r="P11" s="10"/>
      <c r="Q11" s="10"/>
      <c r="R11" s="10"/>
      <c r="S11" s="10"/>
      <c r="T11" s="10"/>
      <c r="U11" s="19"/>
      <c r="V11" s="20"/>
    </row>
    <row r="12" spans="3:22" ht="15" thickBot="1">
      <c r="C12" s="1"/>
      <c r="D12" s="37"/>
      <c r="E12" s="37"/>
      <c r="F12" s="37"/>
      <c r="G12" s="37"/>
      <c r="H12" s="37"/>
      <c r="I12" s="1"/>
      <c r="J12" s="14"/>
      <c r="K12" s="14"/>
      <c r="L12" s="38"/>
      <c r="M12" s="84">
        <v>36982</v>
      </c>
      <c r="N12" s="22" t="s">
        <v>36</v>
      </c>
      <c r="O12" s="10"/>
      <c r="P12" s="10"/>
      <c r="Q12" s="10"/>
      <c r="R12" s="10"/>
      <c r="S12" s="10"/>
      <c r="T12" s="10"/>
      <c r="U12" s="11"/>
      <c r="V12" s="18"/>
    </row>
    <row r="13" spans="3:22" ht="15" thickBot="1">
      <c r="C13" s="107"/>
      <c r="D13" s="110"/>
      <c r="E13" s="114" t="s">
        <v>52</v>
      </c>
      <c r="F13" s="114"/>
      <c r="G13" s="114"/>
      <c r="H13" s="110"/>
      <c r="I13" s="111"/>
      <c r="J13" s="25"/>
      <c r="K13" s="14"/>
      <c r="L13" s="38"/>
      <c r="M13" s="67"/>
      <c r="N13" s="22" t="s">
        <v>35</v>
      </c>
      <c r="O13" s="10"/>
      <c r="P13" s="10"/>
      <c r="Q13" s="10"/>
      <c r="R13" s="10"/>
      <c r="S13" s="10"/>
      <c r="T13" s="10"/>
      <c r="U13" s="11"/>
      <c r="V13" s="18"/>
    </row>
    <row r="14" spans="3:22">
      <c r="C14" s="45"/>
      <c r="D14" s="88" t="s">
        <v>0</v>
      </c>
      <c r="E14" s="2" t="s">
        <v>68</v>
      </c>
      <c r="F14" s="2" t="s">
        <v>69</v>
      </c>
      <c r="G14" s="2" t="s">
        <v>4</v>
      </c>
      <c r="H14" s="3" t="s">
        <v>70</v>
      </c>
      <c r="I14" s="47"/>
      <c r="J14" s="14"/>
      <c r="K14" s="14"/>
      <c r="L14" s="38"/>
      <c r="M14" s="84">
        <v>37012</v>
      </c>
      <c r="N14" s="22" t="s">
        <v>30</v>
      </c>
      <c r="O14" s="10"/>
      <c r="P14" s="10"/>
      <c r="Q14" s="10"/>
      <c r="R14" s="10"/>
      <c r="S14" s="10"/>
      <c r="T14" s="10"/>
      <c r="U14" s="11"/>
      <c r="V14" s="18"/>
    </row>
    <row r="15" spans="3:22">
      <c r="C15" s="45"/>
      <c r="D15" s="92">
        <v>36892</v>
      </c>
      <c r="E15" s="64" t="s">
        <v>71</v>
      </c>
      <c r="F15" s="64"/>
      <c r="G15" s="98">
        <v>160000</v>
      </c>
      <c r="H15" s="99">
        <v>160000</v>
      </c>
      <c r="I15" s="47"/>
      <c r="J15" s="26"/>
      <c r="K15" s="14"/>
      <c r="L15" s="38"/>
      <c r="M15" s="84">
        <v>37104</v>
      </c>
      <c r="N15" s="22" t="s">
        <v>38</v>
      </c>
      <c r="O15" s="10"/>
      <c r="P15" s="10"/>
      <c r="Q15" s="10"/>
      <c r="R15" s="10"/>
      <c r="S15" s="10"/>
      <c r="T15" s="10"/>
      <c r="U15" s="11"/>
      <c r="V15" s="18"/>
    </row>
    <row r="16" spans="3:22">
      <c r="C16" s="45"/>
      <c r="D16" s="92">
        <v>36982</v>
      </c>
      <c r="E16" s="64" t="s">
        <v>59</v>
      </c>
      <c r="F16" s="64"/>
      <c r="G16" s="98">
        <v>48000</v>
      </c>
      <c r="H16" s="99">
        <f>H15+G16</f>
        <v>208000</v>
      </c>
      <c r="I16" s="47"/>
      <c r="J16" s="26"/>
      <c r="K16" s="14"/>
      <c r="L16" s="38"/>
      <c r="M16" s="67"/>
      <c r="N16" s="22" t="s">
        <v>37</v>
      </c>
      <c r="O16" s="10"/>
      <c r="P16" s="10"/>
      <c r="Q16" s="10"/>
      <c r="R16" s="10"/>
      <c r="S16" s="10"/>
      <c r="T16" s="10"/>
      <c r="U16" s="11"/>
      <c r="V16" s="18"/>
    </row>
    <row r="17" spans="3:22">
      <c r="C17" s="45"/>
      <c r="D17" s="92">
        <v>37012</v>
      </c>
      <c r="E17" s="64" t="s">
        <v>71</v>
      </c>
      <c r="F17" s="64"/>
      <c r="G17" s="98">
        <v>160000</v>
      </c>
      <c r="H17" s="99">
        <f>H16+G17</f>
        <v>368000</v>
      </c>
      <c r="I17" s="47"/>
      <c r="J17" s="26"/>
      <c r="K17" s="14"/>
      <c r="L17" s="38"/>
      <c r="M17" s="84">
        <v>37135</v>
      </c>
      <c r="N17" s="22" t="s">
        <v>31</v>
      </c>
      <c r="O17" s="10"/>
      <c r="P17" s="10"/>
      <c r="Q17" s="10"/>
      <c r="R17" s="10"/>
      <c r="S17" s="10"/>
      <c r="T17" s="10"/>
      <c r="U17" s="11"/>
      <c r="V17" s="18"/>
    </row>
    <row r="18" spans="3:22">
      <c r="C18" s="45"/>
      <c r="D18" s="92">
        <v>37104</v>
      </c>
      <c r="E18" s="64" t="s">
        <v>73</v>
      </c>
      <c r="F18" s="64"/>
      <c r="G18" s="98">
        <v>20000</v>
      </c>
      <c r="H18" s="99">
        <f>H17+G18</f>
        <v>388000</v>
      </c>
      <c r="I18" s="47"/>
      <c r="J18" s="26"/>
      <c r="K18" s="14"/>
      <c r="L18" s="38"/>
      <c r="M18" s="84">
        <v>37165</v>
      </c>
      <c r="N18" s="22" t="s">
        <v>32</v>
      </c>
      <c r="O18" s="10"/>
      <c r="P18" s="10"/>
      <c r="Q18" s="10"/>
      <c r="R18" s="10"/>
      <c r="S18" s="10"/>
      <c r="T18" s="10"/>
      <c r="U18" s="11"/>
      <c r="V18" s="18"/>
    </row>
    <row r="19" spans="3:22">
      <c r="C19" s="45"/>
      <c r="D19" s="92">
        <v>37135</v>
      </c>
      <c r="E19" s="64" t="s">
        <v>71</v>
      </c>
      <c r="F19" s="64"/>
      <c r="G19" s="98">
        <v>20000</v>
      </c>
      <c r="H19" s="99">
        <f>H18+G19</f>
        <v>408000</v>
      </c>
      <c r="I19" s="47"/>
      <c r="J19" s="26"/>
      <c r="K19" s="14"/>
      <c r="L19" s="38"/>
      <c r="M19" s="84"/>
      <c r="N19" s="22"/>
      <c r="O19" s="10"/>
      <c r="P19" s="10"/>
      <c r="Q19" s="10"/>
      <c r="R19" s="10"/>
      <c r="S19" s="10"/>
      <c r="T19" s="10"/>
      <c r="U19" s="11"/>
      <c r="V19" s="18"/>
    </row>
    <row r="20" spans="3:22" ht="15" thickBot="1">
      <c r="C20" s="45"/>
      <c r="D20" s="93"/>
      <c r="E20" s="94"/>
      <c r="F20" s="94"/>
      <c r="G20" s="94"/>
      <c r="H20" s="95"/>
      <c r="I20" s="47"/>
      <c r="J20" s="26"/>
      <c r="K20" s="14"/>
      <c r="L20" s="38"/>
      <c r="M20" s="67"/>
      <c r="N20" s="22"/>
      <c r="O20" s="10"/>
      <c r="P20" s="10"/>
      <c r="Q20" s="10"/>
      <c r="R20" s="10"/>
      <c r="S20" s="10"/>
      <c r="T20" s="10"/>
      <c r="U20" s="11"/>
      <c r="V20" s="18"/>
    </row>
    <row r="21" spans="3:22" ht="15" thickBot="1">
      <c r="C21" s="101"/>
      <c r="D21" s="103"/>
      <c r="E21" s="103"/>
      <c r="F21" s="103"/>
      <c r="G21" s="103"/>
      <c r="H21" s="103"/>
      <c r="I21" s="102"/>
      <c r="J21" s="14"/>
      <c r="K21" s="14"/>
      <c r="L21" s="38"/>
      <c r="M21" s="70" t="s">
        <v>6</v>
      </c>
      <c r="N21" s="22"/>
      <c r="O21" s="22"/>
      <c r="P21" s="22"/>
      <c r="Q21" s="22"/>
      <c r="R21" s="22"/>
      <c r="S21" s="22"/>
      <c r="T21" s="22"/>
      <c r="U21" s="22"/>
      <c r="V21" s="35"/>
    </row>
    <row r="22" spans="3:22" ht="15" thickBot="1">
      <c r="C22" s="1"/>
      <c r="D22" s="37"/>
      <c r="E22" s="37"/>
      <c r="F22" s="37"/>
      <c r="G22" s="37"/>
      <c r="H22" s="37"/>
      <c r="I22" s="1"/>
      <c r="J22" s="26"/>
      <c r="K22" s="14"/>
      <c r="L22" s="38"/>
      <c r="M22" s="71" t="s">
        <v>7</v>
      </c>
      <c r="N22" s="22" t="s">
        <v>27</v>
      </c>
      <c r="O22" s="22"/>
      <c r="P22" s="22"/>
      <c r="Q22" s="22"/>
      <c r="R22" s="22"/>
      <c r="S22" s="22"/>
      <c r="T22" s="22"/>
      <c r="U22" s="22"/>
      <c r="V22" s="35"/>
    </row>
    <row r="23" spans="3:22">
      <c r="C23" s="107"/>
      <c r="D23" s="110"/>
      <c r="E23" s="114" t="s">
        <v>58</v>
      </c>
      <c r="F23" s="114"/>
      <c r="G23" s="114"/>
      <c r="H23" s="110"/>
      <c r="I23" s="111"/>
      <c r="J23" s="26"/>
      <c r="K23" s="14"/>
      <c r="L23" s="38"/>
      <c r="M23" s="21" t="s">
        <v>22</v>
      </c>
      <c r="N23" s="22" t="s">
        <v>72</v>
      </c>
      <c r="O23" s="22"/>
      <c r="P23" s="22"/>
      <c r="Q23" s="22"/>
      <c r="R23" s="22"/>
      <c r="S23" s="22"/>
      <c r="T23" s="22"/>
      <c r="U23" s="22"/>
      <c r="V23" s="35"/>
    </row>
    <row r="24" spans="3:22">
      <c r="C24" s="45"/>
      <c r="D24" s="100" t="s">
        <v>0</v>
      </c>
      <c r="E24" s="100" t="s">
        <v>68</v>
      </c>
      <c r="F24" s="100" t="s">
        <v>69</v>
      </c>
      <c r="G24" s="100" t="s">
        <v>4</v>
      </c>
      <c r="H24" s="100" t="s">
        <v>70</v>
      </c>
      <c r="I24" s="47"/>
      <c r="J24" s="26"/>
      <c r="K24" s="14"/>
      <c r="L24" s="39"/>
      <c r="M24" s="21" t="s">
        <v>23</v>
      </c>
      <c r="N24" s="22" t="s">
        <v>26</v>
      </c>
      <c r="O24" s="10"/>
      <c r="P24" s="10"/>
      <c r="Q24" s="8"/>
      <c r="R24" s="8"/>
      <c r="S24" s="8"/>
      <c r="T24" s="8"/>
      <c r="U24" s="8"/>
      <c r="V24" s="30"/>
    </row>
    <row r="25" spans="3:22">
      <c r="C25" s="45"/>
      <c r="D25" s="92">
        <v>36951</v>
      </c>
      <c r="E25" s="64" t="s">
        <v>71</v>
      </c>
      <c r="F25" s="64"/>
      <c r="G25" s="98">
        <v>25000</v>
      </c>
      <c r="H25" s="99">
        <v>25000</v>
      </c>
      <c r="I25" s="47"/>
      <c r="J25" s="26"/>
      <c r="K25" s="14"/>
      <c r="L25" s="39"/>
      <c r="M25" s="21"/>
      <c r="N25" s="22"/>
      <c r="O25" s="10"/>
      <c r="P25" s="10"/>
      <c r="Q25" s="8"/>
      <c r="R25" s="8"/>
      <c r="S25" s="8"/>
      <c r="T25" s="8"/>
      <c r="U25" s="8"/>
      <c r="V25" s="30"/>
    </row>
    <row r="26" spans="3:22">
      <c r="C26" s="45"/>
      <c r="D26" s="92">
        <v>37165</v>
      </c>
      <c r="E26" s="64" t="s">
        <v>71</v>
      </c>
      <c r="F26" s="64"/>
      <c r="G26" s="98">
        <v>9000</v>
      </c>
      <c r="H26" s="99">
        <f>H25+G26</f>
        <v>34000</v>
      </c>
      <c r="I26" s="47"/>
      <c r="J26" s="26"/>
      <c r="K26" s="14"/>
      <c r="L26" s="40"/>
      <c r="M26" s="21"/>
      <c r="N26" s="22"/>
      <c r="O26" s="10"/>
      <c r="P26" s="10"/>
      <c r="Q26" s="8"/>
      <c r="R26" s="8"/>
      <c r="S26" s="8"/>
      <c r="T26" s="8"/>
      <c r="U26" s="8"/>
      <c r="V26" s="30"/>
    </row>
    <row r="27" spans="3:22" ht="15" thickBot="1">
      <c r="C27" s="45"/>
      <c r="D27" s="93"/>
      <c r="E27" s="94"/>
      <c r="F27" s="94"/>
      <c r="G27" s="94"/>
      <c r="H27" s="95"/>
      <c r="I27" s="47"/>
      <c r="K27" s="1"/>
      <c r="L27" s="36"/>
      <c r="M27" s="31"/>
      <c r="N27" s="32"/>
      <c r="O27" s="32"/>
      <c r="P27" s="32"/>
      <c r="Q27" s="32"/>
      <c r="R27" s="32"/>
      <c r="S27" s="32"/>
      <c r="T27" s="32"/>
      <c r="U27" s="32"/>
      <c r="V27" s="33"/>
    </row>
    <row r="28" spans="3:22" ht="15" thickBot="1">
      <c r="C28" s="101"/>
      <c r="D28" s="103"/>
      <c r="E28" s="103"/>
      <c r="F28" s="103"/>
      <c r="G28" s="103"/>
      <c r="H28" s="103"/>
      <c r="I28" s="102"/>
      <c r="K28" s="1"/>
      <c r="L28" s="36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3:22" ht="15" thickBot="1">
      <c r="C29" s="1"/>
      <c r="D29" s="37"/>
      <c r="E29" s="37"/>
      <c r="F29" s="37"/>
      <c r="G29" s="37"/>
      <c r="H29" s="37"/>
      <c r="I29" s="1"/>
      <c r="J29" s="13"/>
      <c r="K29" s="1"/>
      <c r="L29" s="37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3:22" ht="15" thickBot="1">
      <c r="C30" s="107"/>
      <c r="D30" s="108"/>
      <c r="E30" s="114" t="s">
        <v>61</v>
      </c>
      <c r="F30" s="114"/>
      <c r="G30" s="115"/>
      <c r="H30" s="109"/>
      <c r="I30" s="44"/>
      <c r="J30" s="1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3:22" ht="15" thickBot="1">
      <c r="C31" s="45"/>
      <c r="D31" s="88" t="s">
        <v>0</v>
      </c>
      <c r="E31" s="2" t="s">
        <v>68</v>
      </c>
      <c r="F31" s="2" t="s">
        <v>69</v>
      </c>
      <c r="G31" s="2" t="s">
        <v>4</v>
      </c>
      <c r="H31" s="3" t="s">
        <v>70</v>
      </c>
      <c r="I31" s="47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3:22">
      <c r="C32" s="45"/>
      <c r="D32" s="92">
        <v>36892</v>
      </c>
      <c r="E32" s="64" t="s">
        <v>71</v>
      </c>
      <c r="F32" s="64"/>
      <c r="G32" s="98">
        <v>160000</v>
      </c>
      <c r="H32" s="99">
        <v>160000</v>
      </c>
      <c r="I32" s="47"/>
      <c r="J32" s="13"/>
      <c r="K32" s="23"/>
      <c r="L32" s="23"/>
      <c r="M32" s="23"/>
      <c r="N32" s="72"/>
      <c r="O32" s="73"/>
      <c r="P32" s="74" t="s">
        <v>8</v>
      </c>
      <c r="Q32" s="75" t="s">
        <v>9</v>
      </c>
      <c r="R32" s="1"/>
      <c r="S32" s="1"/>
      <c r="T32" s="1"/>
      <c r="U32" s="1"/>
      <c r="V32" s="1"/>
    </row>
    <row r="33" spans="3:22">
      <c r="C33" s="45"/>
      <c r="D33" s="92">
        <v>36982</v>
      </c>
      <c r="E33" s="64" t="s">
        <v>59</v>
      </c>
      <c r="F33" s="64"/>
      <c r="G33" s="98">
        <v>37000</v>
      </c>
      <c r="H33" s="99">
        <f>H32+G33</f>
        <v>197000</v>
      </c>
      <c r="I33" s="47"/>
      <c r="J33" s="13"/>
      <c r="K33" s="23"/>
      <c r="L33" s="23"/>
      <c r="M33" s="23"/>
      <c r="N33" s="104"/>
      <c r="O33" s="78"/>
      <c r="P33" s="105"/>
      <c r="Q33" s="106"/>
      <c r="R33" s="1"/>
      <c r="S33" s="1"/>
      <c r="T33" s="1"/>
      <c r="U33" s="1"/>
      <c r="V33" s="1"/>
    </row>
    <row r="34" spans="3:22" ht="15.5">
      <c r="C34" s="45"/>
      <c r="D34" s="92">
        <v>37012</v>
      </c>
      <c r="E34" s="64" t="s">
        <v>71</v>
      </c>
      <c r="F34" s="64"/>
      <c r="G34" s="98">
        <v>200000</v>
      </c>
      <c r="H34" s="99">
        <f>H33+G34</f>
        <v>397000</v>
      </c>
      <c r="I34" s="47"/>
      <c r="J34" s="13"/>
      <c r="K34" s="23"/>
      <c r="L34" s="23"/>
      <c r="M34" s="76"/>
      <c r="N34" s="77" t="s">
        <v>10</v>
      </c>
      <c r="O34" s="78" t="s">
        <v>11</v>
      </c>
      <c r="P34" s="79" t="s">
        <v>12</v>
      </c>
      <c r="Q34" s="80" t="s">
        <v>13</v>
      </c>
      <c r="R34" s="1"/>
      <c r="S34" s="1"/>
      <c r="T34" s="1"/>
      <c r="U34" s="1"/>
      <c r="V34" s="1"/>
    </row>
    <row r="35" spans="3:22" ht="15.5">
      <c r="C35" s="45"/>
      <c r="D35" s="92">
        <v>37104</v>
      </c>
      <c r="E35" s="91" t="s">
        <v>63</v>
      </c>
      <c r="F35" s="64"/>
      <c r="G35" s="98">
        <v>10000</v>
      </c>
      <c r="H35" s="99">
        <f>H34+G35</f>
        <v>407000</v>
      </c>
      <c r="I35" s="47"/>
      <c r="J35" s="13"/>
      <c r="K35" s="23"/>
      <c r="L35" s="23"/>
      <c r="M35" s="76"/>
      <c r="N35" s="77" t="s">
        <v>14</v>
      </c>
      <c r="O35" s="78" t="s">
        <v>15</v>
      </c>
      <c r="P35" s="79" t="s">
        <v>13</v>
      </c>
      <c r="Q35" s="80" t="s">
        <v>12</v>
      </c>
      <c r="R35" s="1"/>
      <c r="S35" s="1"/>
      <c r="T35" s="1"/>
      <c r="U35" s="1"/>
      <c r="V35" s="1"/>
    </row>
    <row r="36" spans="3:22" ht="15.5">
      <c r="C36" s="45"/>
      <c r="D36" s="92">
        <v>37135</v>
      </c>
      <c r="E36" s="64" t="s">
        <v>71</v>
      </c>
      <c r="F36" s="4"/>
      <c r="G36" s="98">
        <v>30000</v>
      </c>
      <c r="H36" s="99">
        <f>H35+G36</f>
        <v>437000</v>
      </c>
      <c r="I36" s="47"/>
      <c r="K36" s="23"/>
      <c r="L36" s="23"/>
      <c r="M36" s="76"/>
      <c r="N36" s="77" t="s">
        <v>16</v>
      </c>
      <c r="O36" s="78" t="s">
        <v>17</v>
      </c>
      <c r="P36" s="79" t="s">
        <v>13</v>
      </c>
      <c r="Q36" s="80" t="s">
        <v>12</v>
      </c>
      <c r="R36" s="1"/>
      <c r="S36" s="1"/>
      <c r="T36" s="1"/>
      <c r="U36" s="1"/>
      <c r="V36" s="1"/>
    </row>
    <row r="37" spans="3:22" ht="16" thickBot="1">
      <c r="C37" s="45"/>
      <c r="D37" s="5"/>
      <c r="E37" s="6"/>
      <c r="F37" s="6"/>
      <c r="G37" s="6"/>
      <c r="H37" s="7"/>
      <c r="I37" s="47"/>
      <c r="K37" s="23"/>
      <c r="L37" s="23"/>
      <c r="M37" s="76"/>
      <c r="N37" s="77" t="s">
        <v>18</v>
      </c>
      <c r="O37" s="78" t="s">
        <v>19</v>
      </c>
      <c r="P37" s="79" t="s">
        <v>13</v>
      </c>
      <c r="Q37" s="80" t="s">
        <v>12</v>
      </c>
      <c r="R37" s="1"/>
      <c r="S37" s="1"/>
      <c r="T37" s="1"/>
      <c r="U37" s="1"/>
      <c r="V37" s="1"/>
    </row>
    <row r="38" spans="3:22" ht="16" thickBot="1">
      <c r="C38" s="54"/>
      <c r="D38" s="55"/>
      <c r="E38" s="55"/>
      <c r="F38" s="55"/>
      <c r="G38" s="55"/>
      <c r="H38" s="55"/>
      <c r="I38" s="56"/>
      <c r="K38" s="23"/>
      <c r="L38" s="23"/>
      <c r="M38" s="76"/>
      <c r="N38" s="81" t="s">
        <v>20</v>
      </c>
      <c r="O38" s="82" t="s">
        <v>21</v>
      </c>
      <c r="P38" s="24" t="s">
        <v>12</v>
      </c>
      <c r="Q38" s="83" t="s">
        <v>13</v>
      </c>
      <c r="R38" s="1"/>
      <c r="S38" s="1"/>
      <c r="T38" s="1"/>
      <c r="U38" s="1"/>
      <c r="V38" s="1"/>
    </row>
    <row r="39" spans="3:22">
      <c r="C39" s="65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3:22">
      <c r="C40" s="65"/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3:22">
      <c r="C41" s="65"/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3:22">
      <c r="C42" s="65"/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3:22">
      <c r="C43" s="65"/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3:22">
      <c r="C44" s="65"/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3:22">
      <c r="C45" s="65"/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3:22">
      <c r="C46" s="65"/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3:22">
      <c r="C47" s="65"/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3:22">
      <c r="C48" s="65"/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3:22">
      <c r="C49" s="65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3:22">
      <c r="C50" s="65"/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3:22">
      <c r="C51" s="65"/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3:22">
      <c r="C52" s="65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3:22">
      <c r="C53" s="65"/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3:22">
      <c r="C54" s="65"/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3:22">
      <c r="C55" s="65"/>
      <c r="D55" s="1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3:22">
      <c r="C56" s="65"/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3:22">
      <c r="C57" s="65"/>
      <c r="D57" s="1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3:22">
      <c r="C58" s="65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3:22">
      <c r="C59" s="65"/>
      <c r="D59" s="1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3:22">
      <c r="C60" s="65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3:22">
      <c r="C61" s="65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3:22">
      <c r="C62" s="65"/>
      <c r="D62" s="1"/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3:22">
      <c r="C63" s="65"/>
      <c r="D63" s="1"/>
      <c r="E63" s="1"/>
      <c r="F63" s="1"/>
      <c r="G63" s="1"/>
      <c r="H63" s="1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3:22">
      <c r="C64" s="65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3:22">
      <c r="C65" s="65"/>
      <c r="D65" s="1"/>
      <c r="E65" s="1"/>
      <c r="F65" s="1"/>
      <c r="G65" s="1"/>
      <c r="H65" s="1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3:22">
      <c r="C66" s="65"/>
      <c r="D66" s="1"/>
      <c r="E66" s="1"/>
      <c r="F66" s="1"/>
      <c r="G66" s="1"/>
      <c r="H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3:22">
      <c r="C67" s="65"/>
      <c r="D67" s="1"/>
      <c r="E67" s="1"/>
      <c r="F67" s="1"/>
      <c r="G67" s="1"/>
      <c r="H67" s="1"/>
      <c r="I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3:22">
      <c r="C68" s="65"/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3:22">
      <c r="C69" s="65"/>
      <c r="D69" s="1"/>
      <c r="E69" s="1"/>
      <c r="F69" s="1"/>
      <c r="G69" s="1"/>
      <c r="H69" s="1"/>
      <c r="I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3:22">
      <c r="C70" s="65"/>
      <c r="D70" s="1"/>
      <c r="E70" s="1"/>
      <c r="F70" s="1"/>
      <c r="G70" s="1"/>
      <c r="H70" s="1"/>
      <c r="I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3:22">
      <c r="C71" s="65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3:22">
      <c r="C72" s="65"/>
      <c r="D72" s="1"/>
      <c r="E72" s="1"/>
      <c r="F72" s="1"/>
      <c r="G72" s="1"/>
      <c r="H72" s="1"/>
      <c r="I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3:22">
      <c r="C73" s="65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3:22">
      <c r="C74" s="65"/>
      <c r="D74" s="1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3:22">
      <c r="C75" s="65"/>
      <c r="D75" s="1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3:22">
      <c r="C76" s="65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3:22">
      <c r="C77" s="65"/>
      <c r="D77" s="1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3:22">
      <c r="C78" s="65"/>
      <c r="D78" s="1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3:22">
      <c r="C79" s="65"/>
      <c r="D79" s="1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3:22">
      <c r="C80" s="65"/>
      <c r="D80" s="1"/>
      <c r="E80" s="1"/>
      <c r="F80" s="1"/>
      <c r="G80" s="1"/>
      <c r="H80" s="1"/>
      <c r="I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3:22">
      <c r="C81" s="65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3:22">
      <c r="C82" s="65"/>
      <c r="D82" s="1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3:22">
      <c r="C83" s="65"/>
      <c r="D83" s="1"/>
      <c r="E83" s="1"/>
      <c r="F83" s="1"/>
      <c r="G83" s="1"/>
      <c r="H83" s="1"/>
      <c r="I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3:22">
      <c r="C84" s="65"/>
      <c r="D84" s="1"/>
      <c r="E84" s="1"/>
      <c r="F84" s="1"/>
      <c r="G84" s="1"/>
      <c r="H84" s="1"/>
      <c r="I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3:22">
      <c r="C85" s="65"/>
      <c r="D85" s="1"/>
      <c r="E85" s="1"/>
      <c r="F85" s="1"/>
      <c r="G85" s="1"/>
      <c r="H85" s="1"/>
      <c r="I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3:22">
      <c r="C86" s="65"/>
      <c r="D86" s="1"/>
      <c r="E86" s="1"/>
      <c r="F86" s="1"/>
      <c r="G86" s="1"/>
      <c r="H86" s="1"/>
      <c r="I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3:22">
      <c r="C87" s="65"/>
      <c r="D87" s="1"/>
      <c r="E87" s="1"/>
      <c r="F87" s="1"/>
      <c r="G87" s="1"/>
      <c r="H87" s="1"/>
      <c r="I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3:22">
      <c r="C88" s="65"/>
      <c r="D88" s="1"/>
      <c r="E88" s="1"/>
      <c r="F88" s="1"/>
      <c r="G88" s="1"/>
      <c r="H88" s="1"/>
      <c r="I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3:22">
      <c r="C89" s="65"/>
      <c r="D89" s="1"/>
      <c r="E89" s="1"/>
      <c r="F89" s="1"/>
      <c r="G89" s="1"/>
      <c r="H89" s="1"/>
      <c r="I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3:22">
      <c r="C90" s="65"/>
      <c r="D90" s="1"/>
      <c r="E90" s="1"/>
      <c r="F90" s="1"/>
      <c r="G90" s="1"/>
      <c r="H90" s="1"/>
      <c r="I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3:22">
      <c r="C91" s="65"/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3:22">
      <c r="C92" s="65"/>
      <c r="D92" s="1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3:22">
      <c r="C93" s="65"/>
      <c r="D93" s="1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3:22">
      <c r="C94" s="65"/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3:22">
      <c r="C95" s="65"/>
      <c r="D95" s="1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3:22">
      <c r="C96" s="65"/>
      <c r="D96" s="1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3:22">
      <c r="C97" s="65"/>
      <c r="D97" s="1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3:22">
      <c r="C98" s="65"/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3:22">
      <c r="C99" s="65"/>
      <c r="D99" s="1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3:22">
      <c r="C100" s="65"/>
      <c r="D100" s="1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3:22">
      <c r="C101" s="65"/>
      <c r="D101" s="1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3:22">
      <c r="C102" s="65"/>
      <c r="D102" s="1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3:22">
      <c r="C103" s="65"/>
      <c r="D103" s="1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3:22">
      <c r="C104" s="65"/>
      <c r="D104" s="1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3:22">
      <c r="C105" s="65"/>
      <c r="D105" s="1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3:22">
      <c r="C106" s="65"/>
      <c r="D106" s="1"/>
      <c r="E106" s="1"/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3:22">
      <c r="C107" s="65"/>
      <c r="D107" s="1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3:22">
      <c r="C108" s="65"/>
      <c r="D108" s="1"/>
      <c r="E108" s="1"/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3:22">
      <c r="C109" s="65"/>
      <c r="D109" s="1"/>
      <c r="E109" s="1"/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3:22">
      <c r="C110" s="65"/>
      <c r="D110" s="1"/>
      <c r="E110" s="1"/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3:22">
      <c r="C111" s="65"/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3:22">
      <c r="C112" s="65"/>
      <c r="D112" s="1"/>
      <c r="E112" s="1"/>
      <c r="F112" s="1"/>
      <c r="G112" s="1"/>
      <c r="H112" s="1"/>
      <c r="I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3:22">
      <c r="C113" s="65"/>
      <c r="D113" s="1"/>
      <c r="E113" s="1"/>
      <c r="F113" s="1"/>
      <c r="G113" s="1"/>
      <c r="H113" s="1"/>
      <c r="I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3:22">
      <c r="C114" s="65"/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3:22">
      <c r="C115" s="65"/>
      <c r="D115" s="1"/>
      <c r="E115" s="1"/>
      <c r="F115" s="1"/>
      <c r="G115" s="1"/>
      <c r="H115" s="1"/>
      <c r="I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3:22">
      <c r="C116" s="65"/>
      <c r="D116" s="1"/>
      <c r="E116" s="1"/>
      <c r="F116" s="1"/>
      <c r="G116" s="1"/>
      <c r="H116" s="1"/>
      <c r="I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3:22">
      <c r="C117" s="65"/>
      <c r="D117" s="1"/>
      <c r="E117" s="1"/>
      <c r="F117" s="1"/>
      <c r="G117" s="1"/>
      <c r="H117" s="1"/>
      <c r="I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3:22">
      <c r="C118" s="65"/>
      <c r="D118" s="1"/>
      <c r="E118" s="1"/>
      <c r="F118" s="1"/>
      <c r="G118" s="1"/>
      <c r="H118" s="1"/>
      <c r="I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3:22">
      <c r="C119" s="65"/>
      <c r="D119" s="1"/>
      <c r="E119" s="1"/>
      <c r="F119" s="1"/>
      <c r="G119" s="1"/>
      <c r="H119" s="1"/>
      <c r="I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3:22">
      <c r="C120" s="65"/>
      <c r="D120" s="1"/>
      <c r="E120" s="1"/>
      <c r="F120" s="1"/>
      <c r="G120" s="1"/>
      <c r="H120" s="1"/>
      <c r="I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3:22">
      <c r="C121" s="65"/>
      <c r="D121" s="1"/>
      <c r="E121" s="1"/>
      <c r="F121" s="1"/>
      <c r="G121" s="1"/>
      <c r="H121" s="1"/>
      <c r="I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3:22">
      <c r="C122" s="65"/>
      <c r="D122" s="1"/>
      <c r="E122" s="1"/>
      <c r="F122" s="1"/>
      <c r="G122" s="1"/>
      <c r="H122" s="1"/>
      <c r="I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3:22">
      <c r="C123" s="65"/>
      <c r="D123" s="1"/>
      <c r="E123" s="1"/>
      <c r="F123" s="1"/>
      <c r="G123" s="1"/>
      <c r="H123" s="1"/>
      <c r="I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3:22">
      <c r="C124" s="65"/>
      <c r="D124" s="1"/>
      <c r="E124" s="1"/>
      <c r="F124" s="1"/>
      <c r="G124" s="1"/>
      <c r="H124" s="1"/>
      <c r="I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3:22">
      <c r="C125" s="65"/>
      <c r="D125" s="1"/>
      <c r="E125" s="1"/>
      <c r="F125" s="1"/>
      <c r="G125" s="1"/>
      <c r="H125" s="1"/>
      <c r="I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3:22">
      <c r="C126" s="65"/>
      <c r="D126" s="1"/>
      <c r="E126" s="1"/>
      <c r="F126" s="1"/>
      <c r="G126" s="1"/>
      <c r="H126" s="1"/>
      <c r="I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3:22">
      <c r="C127" s="65"/>
      <c r="D127" s="1"/>
      <c r="E127" s="1"/>
      <c r="F127" s="1"/>
      <c r="G127" s="1"/>
      <c r="H127" s="1"/>
      <c r="I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3:22">
      <c r="C128" s="65"/>
      <c r="D128" s="1"/>
      <c r="E128" s="1"/>
      <c r="F128" s="1"/>
      <c r="G128" s="1"/>
      <c r="H128" s="1"/>
      <c r="I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3:22">
      <c r="C129" s="65"/>
      <c r="D129" s="1"/>
      <c r="E129" s="1"/>
      <c r="F129" s="1"/>
      <c r="G129" s="1"/>
      <c r="H129" s="1"/>
      <c r="I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3:22">
      <c r="C130" s="65"/>
      <c r="D130" s="1"/>
      <c r="E130" s="1"/>
      <c r="F130" s="1"/>
      <c r="G130" s="1"/>
      <c r="H130" s="1"/>
      <c r="I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3:22">
      <c r="C131" s="65"/>
      <c r="D131" s="1"/>
      <c r="E131" s="1"/>
      <c r="F131" s="1"/>
      <c r="G131" s="1"/>
      <c r="H131" s="1"/>
      <c r="I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3:22">
      <c r="C132" s="65"/>
      <c r="D132" s="1"/>
      <c r="E132" s="1"/>
      <c r="F132" s="1"/>
      <c r="G132" s="1"/>
      <c r="H132" s="1"/>
      <c r="I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3:22">
      <c r="C133" s="65"/>
      <c r="D133" s="1"/>
      <c r="E133" s="1"/>
      <c r="F133" s="1"/>
      <c r="G133" s="1"/>
      <c r="H133" s="1"/>
      <c r="I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3:22">
      <c r="C134" s="65"/>
      <c r="D134" s="1"/>
      <c r="E134" s="1"/>
      <c r="F134" s="1"/>
      <c r="G134" s="1"/>
      <c r="H134" s="1"/>
      <c r="I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3:22" ht="15" thickBot="1">
      <c r="C135" s="66"/>
      <c r="D135" s="1"/>
      <c r="E135" s="1"/>
      <c r="F135" s="1"/>
      <c r="G135" s="1"/>
      <c r="H135" s="1"/>
      <c r="I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3:22" s="1" customFormat="1"/>
    <row r="137" spans="3:22" s="1" customFormat="1"/>
    <row r="138" spans="3:22" s="1" customFormat="1"/>
    <row r="139" spans="3:22" s="1" customFormat="1"/>
    <row r="140" spans="3:22" s="1" customFormat="1"/>
    <row r="141" spans="3:22" s="1" customFormat="1"/>
    <row r="142" spans="3:22" s="1" customFormat="1"/>
    <row r="143" spans="3:22" s="1" customFormat="1"/>
    <row r="144" spans="3:22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pans="13:22" s="1" customFormat="1"/>
    <row r="930" spans="13:22" s="1" customFormat="1"/>
    <row r="931" spans="13:22" s="1" customFormat="1"/>
    <row r="932" spans="13:22" s="1" customFormat="1"/>
    <row r="933" spans="13:22" s="1" customFormat="1"/>
    <row r="934" spans="13:22" s="1" customFormat="1"/>
    <row r="935" spans="13:22" s="1" customFormat="1"/>
    <row r="936" spans="13:22" s="1" customFormat="1">
      <c r="M936"/>
      <c r="N936"/>
      <c r="O936"/>
      <c r="P936"/>
      <c r="Q936"/>
      <c r="R936"/>
      <c r="S936"/>
      <c r="T936"/>
      <c r="U936"/>
      <c r="V936"/>
    </row>
    <row r="937" spans="13:22" s="1" customFormat="1">
      <c r="M937"/>
      <c r="N937"/>
      <c r="O937"/>
      <c r="P937"/>
      <c r="Q937"/>
      <c r="R937"/>
      <c r="S937"/>
      <c r="T937"/>
      <c r="U937"/>
      <c r="V937"/>
    </row>
    <row r="938" spans="13:22" s="1" customFormat="1">
      <c r="M938"/>
      <c r="N938"/>
      <c r="O938"/>
      <c r="P938"/>
      <c r="Q938"/>
      <c r="R938"/>
      <c r="S938"/>
      <c r="T938"/>
      <c r="U938"/>
      <c r="V938"/>
    </row>
    <row r="939" spans="13:22" s="1" customFormat="1">
      <c r="M939"/>
      <c r="N939"/>
      <c r="O939"/>
      <c r="P939"/>
      <c r="Q939"/>
      <c r="R939"/>
      <c r="S939"/>
      <c r="T939"/>
      <c r="U939"/>
      <c r="V939"/>
    </row>
    <row r="940" spans="13:22" s="1" customFormat="1">
      <c r="M940"/>
      <c r="N940"/>
      <c r="O940"/>
      <c r="P940"/>
      <c r="Q940"/>
      <c r="R940"/>
      <c r="S940"/>
      <c r="T940"/>
      <c r="U940"/>
      <c r="V940"/>
    </row>
    <row r="941" spans="13:22" s="1" customFormat="1">
      <c r="M941"/>
      <c r="N941"/>
      <c r="O941"/>
      <c r="P941"/>
      <c r="Q941"/>
      <c r="R941"/>
      <c r="S941"/>
      <c r="T941"/>
      <c r="U941"/>
      <c r="V941"/>
    </row>
    <row r="942" spans="13:22" s="1" customFormat="1">
      <c r="M942"/>
      <c r="N942"/>
      <c r="O942"/>
      <c r="P942"/>
      <c r="Q942"/>
      <c r="R942"/>
      <c r="S942"/>
      <c r="T942"/>
      <c r="U942"/>
      <c r="V942"/>
    </row>
    <row r="943" spans="13:22" s="1" customFormat="1">
      <c r="M943"/>
      <c r="N943"/>
      <c r="O943"/>
      <c r="P943"/>
      <c r="Q943"/>
      <c r="R943"/>
      <c r="S943"/>
      <c r="T943"/>
      <c r="U943"/>
      <c r="V943"/>
    </row>
    <row r="944" spans="13:22" s="1" customFormat="1">
      <c r="M944"/>
      <c r="N944"/>
      <c r="O944"/>
      <c r="P944"/>
      <c r="Q944"/>
      <c r="R944"/>
      <c r="S944"/>
      <c r="T944"/>
      <c r="U944"/>
      <c r="V944"/>
    </row>
    <row r="945" spans="13:22" s="1" customFormat="1">
      <c r="M945"/>
      <c r="N945"/>
      <c r="O945"/>
      <c r="P945"/>
      <c r="Q945"/>
      <c r="R945"/>
      <c r="S945"/>
      <c r="T945"/>
      <c r="U945"/>
      <c r="V945"/>
    </row>
    <row r="946" spans="13:22" s="1" customFormat="1">
      <c r="M946"/>
      <c r="N946"/>
      <c r="O946"/>
      <c r="P946"/>
      <c r="Q946"/>
      <c r="R946"/>
      <c r="S946"/>
      <c r="T946"/>
      <c r="U946"/>
      <c r="V946"/>
    </row>
    <row r="947" spans="13:22" s="1" customFormat="1">
      <c r="M947"/>
      <c r="N947"/>
      <c r="O947"/>
      <c r="P947"/>
      <c r="Q947"/>
      <c r="R947"/>
      <c r="S947"/>
      <c r="T947"/>
      <c r="U947"/>
      <c r="V947"/>
    </row>
    <row r="948" spans="13:22" s="1" customFormat="1">
      <c r="M948"/>
      <c r="N948"/>
      <c r="O948"/>
      <c r="P948"/>
      <c r="Q948"/>
      <c r="R948"/>
      <c r="S948"/>
      <c r="T948"/>
      <c r="U948"/>
      <c r="V948"/>
    </row>
    <row r="949" spans="13:22" s="1" customFormat="1">
      <c r="M949"/>
      <c r="N949"/>
      <c r="O949"/>
      <c r="P949"/>
      <c r="Q949"/>
      <c r="R949"/>
      <c r="S949"/>
      <c r="T949"/>
      <c r="U949"/>
      <c r="V949"/>
    </row>
    <row r="950" spans="13:22" s="1" customFormat="1">
      <c r="M950"/>
      <c r="N950"/>
      <c r="O950"/>
      <c r="P950"/>
      <c r="Q950"/>
      <c r="R950"/>
      <c r="S950"/>
      <c r="T950"/>
      <c r="U950"/>
      <c r="V950"/>
    </row>
    <row r="951" spans="13:22" s="1" customFormat="1">
      <c r="M951"/>
      <c r="N951"/>
      <c r="O951"/>
      <c r="P951"/>
      <c r="Q951"/>
      <c r="R951"/>
      <c r="S951"/>
      <c r="T951"/>
      <c r="U951"/>
      <c r="V951"/>
    </row>
    <row r="952" spans="13:22" s="1" customFormat="1">
      <c r="M952"/>
      <c r="N952"/>
      <c r="O952"/>
      <c r="P952"/>
      <c r="Q952"/>
      <c r="R952"/>
      <c r="S952"/>
      <c r="T952"/>
      <c r="U952"/>
      <c r="V952"/>
    </row>
    <row r="953" spans="13:22" s="1" customFormat="1">
      <c r="M953"/>
      <c r="N953"/>
      <c r="O953"/>
      <c r="P953"/>
      <c r="Q953"/>
      <c r="R953"/>
      <c r="S953"/>
      <c r="T953"/>
      <c r="U953"/>
      <c r="V953"/>
    </row>
    <row r="954" spans="13:22" s="1" customFormat="1">
      <c r="M954"/>
      <c r="N954"/>
      <c r="O954"/>
      <c r="P954"/>
      <c r="Q954"/>
      <c r="R954"/>
      <c r="S954"/>
      <c r="T954"/>
      <c r="U954"/>
      <c r="V954"/>
    </row>
    <row r="955" spans="13:22" s="1" customFormat="1">
      <c r="M955"/>
      <c r="N955"/>
      <c r="O955"/>
      <c r="P955"/>
      <c r="Q955"/>
      <c r="R955"/>
      <c r="S955"/>
      <c r="T955"/>
      <c r="U955"/>
      <c r="V955"/>
    </row>
    <row r="956" spans="13:22" s="1" customFormat="1">
      <c r="M956"/>
      <c r="N956"/>
      <c r="O956"/>
      <c r="P956"/>
      <c r="Q956"/>
      <c r="R956"/>
      <c r="S956"/>
      <c r="T956"/>
      <c r="U956"/>
      <c r="V956"/>
    </row>
    <row r="957" spans="13:22" s="1" customFormat="1">
      <c r="M957"/>
      <c r="N957"/>
      <c r="O957"/>
      <c r="P957"/>
      <c r="Q957"/>
      <c r="R957"/>
      <c r="S957"/>
      <c r="T957"/>
      <c r="U957"/>
      <c r="V957"/>
    </row>
    <row r="958" spans="13:22" s="1" customFormat="1">
      <c r="M958"/>
      <c r="N958"/>
      <c r="O958"/>
      <c r="P958"/>
      <c r="Q958"/>
      <c r="R958"/>
      <c r="S958"/>
      <c r="T958"/>
      <c r="U958"/>
      <c r="V958"/>
    </row>
    <row r="959" spans="13:22" s="1" customFormat="1">
      <c r="M959"/>
      <c r="N959"/>
      <c r="O959"/>
      <c r="P959"/>
      <c r="Q959"/>
      <c r="R959"/>
      <c r="S959"/>
      <c r="T959"/>
      <c r="U959"/>
      <c r="V959"/>
    </row>
    <row r="960" spans="13:22" s="1" customFormat="1">
      <c r="M960"/>
      <c r="N960"/>
      <c r="O960"/>
      <c r="P960"/>
      <c r="Q960"/>
      <c r="R960"/>
      <c r="S960"/>
      <c r="T960"/>
      <c r="U960"/>
      <c r="V960"/>
    </row>
    <row r="961" spans="13:22" s="1" customFormat="1">
      <c r="M961"/>
      <c r="N961"/>
      <c r="O961"/>
      <c r="P961"/>
      <c r="Q961"/>
      <c r="R961"/>
      <c r="S961"/>
      <c r="T961"/>
      <c r="U961"/>
      <c r="V961"/>
    </row>
    <row r="962" spans="13:22" s="1" customFormat="1">
      <c r="M962"/>
      <c r="N962"/>
      <c r="O962"/>
      <c r="P962"/>
      <c r="Q962"/>
      <c r="R962"/>
      <c r="S962"/>
      <c r="T962"/>
      <c r="U962"/>
      <c r="V962"/>
    </row>
    <row r="963" spans="13:22" s="1" customFormat="1">
      <c r="M963"/>
      <c r="N963"/>
      <c r="O963"/>
      <c r="P963"/>
      <c r="Q963"/>
      <c r="R963"/>
      <c r="S963"/>
      <c r="T963"/>
      <c r="U963"/>
      <c r="V963"/>
    </row>
    <row r="964" spans="13:22" s="1" customFormat="1">
      <c r="M964"/>
      <c r="N964"/>
      <c r="O964"/>
      <c r="P964"/>
      <c r="Q964"/>
      <c r="R964"/>
      <c r="S964"/>
      <c r="T964"/>
      <c r="U964"/>
      <c r="V964"/>
    </row>
    <row r="965" spans="13:22" s="1" customFormat="1">
      <c r="M965"/>
      <c r="N965"/>
      <c r="O965"/>
      <c r="P965"/>
      <c r="Q965"/>
      <c r="R965"/>
      <c r="S965"/>
      <c r="T965"/>
      <c r="U965"/>
      <c r="V965"/>
    </row>
    <row r="966" spans="13:22" s="1" customFormat="1">
      <c r="M966"/>
      <c r="N966"/>
      <c r="O966"/>
      <c r="P966"/>
      <c r="Q966"/>
      <c r="R966"/>
      <c r="S966"/>
      <c r="T966"/>
      <c r="U966"/>
      <c r="V966"/>
    </row>
    <row r="967" spans="13:22" s="1" customFormat="1">
      <c r="M967"/>
      <c r="N967"/>
      <c r="O967"/>
      <c r="P967"/>
      <c r="Q967"/>
      <c r="R967"/>
      <c r="S967"/>
      <c r="T967"/>
      <c r="U967"/>
      <c r="V967"/>
    </row>
    <row r="968" spans="13:22" s="1" customFormat="1">
      <c r="M968"/>
      <c r="N968"/>
      <c r="O968"/>
      <c r="P968"/>
      <c r="Q968"/>
      <c r="R968"/>
      <c r="S968"/>
      <c r="T968"/>
      <c r="U968"/>
      <c r="V968"/>
    </row>
    <row r="969" spans="13:22" s="1" customFormat="1">
      <c r="M969"/>
      <c r="N969"/>
      <c r="O969"/>
      <c r="P969"/>
      <c r="Q969"/>
      <c r="R969"/>
      <c r="S969"/>
      <c r="T969"/>
      <c r="U969"/>
      <c r="V969"/>
    </row>
    <row r="970" spans="13:22" s="1" customFormat="1">
      <c r="M970"/>
      <c r="N970"/>
      <c r="O970"/>
      <c r="P970"/>
      <c r="Q970"/>
      <c r="R970"/>
      <c r="S970"/>
      <c r="T970"/>
      <c r="U970"/>
      <c r="V970"/>
    </row>
    <row r="971" spans="13:22" s="1" customFormat="1">
      <c r="M971"/>
      <c r="N971"/>
      <c r="O971"/>
      <c r="P971"/>
      <c r="Q971"/>
      <c r="R971"/>
      <c r="S971"/>
      <c r="T971"/>
      <c r="U971"/>
      <c r="V971"/>
    </row>
    <row r="972" spans="13:22" s="1" customFormat="1">
      <c r="M972"/>
      <c r="N972"/>
      <c r="O972"/>
      <c r="P972"/>
      <c r="Q972"/>
      <c r="R972"/>
      <c r="S972"/>
      <c r="T972"/>
      <c r="U972"/>
      <c r="V972"/>
    </row>
    <row r="973" spans="13:22" s="1" customFormat="1">
      <c r="M973"/>
      <c r="N973"/>
      <c r="O973"/>
      <c r="P973"/>
      <c r="Q973"/>
      <c r="R973"/>
      <c r="S973"/>
      <c r="T973"/>
      <c r="U973"/>
      <c r="V973"/>
    </row>
    <row r="974" spans="13:22" s="1" customFormat="1">
      <c r="M974"/>
      <c r="N974"/>
      <c r="O974"/>
      <c r="P974"/>
      <c r="Q974"/>
      <c r="R974"/>
      <c r="S974"/>
      <c r="T974"/>
      <c r="U974"/>
      <c r="V974"/>
    </row>
    <row r="975" spans="13:22" s="1" customFormat="1">
      <c r="M975"/>
      <c r="N975"/>
      <c r="O975"/>
      <c r="P975"/>
      <c r="Q975"/>
      <c r="R975"/>
      <c r="S975"/>
      <c r="T975"/>
      <c r="U975"/>
      <c r="V975"/>
    </row>
    <row r="976" spans="13:22" s="1" customFormat="1">
      <c r="M976"/>
      <c r="N976"/>
      <c r="O976"/>
      <c r="P976"/>
      <c r="Q976"/>
      <c r="R976"/>
      <c r="S976"/>
      <c r="T976"/>
      <c r="U976"/>
      <c r="V976"/>
    </row>
    <row r="977" spans="13:22" s="1" customFormat="1">
      <c r="M977"/>
      <c r="N977"/>
      <c r="O977"/>
      <c r="P977"/>
      <c r="Q977"/>
      <c r="R977"/>
      <c r="S977"/>
      <c r="T977"/>
      <c r="U977"/>
      <c r="V977"/>
    </row>
    <row r="978" spans="13:22" s="1" customFormat="1">
      <c r="M978"/>
      <c r="N978"/>
      <c r="O978"/>
      <c r="P978"/>
      <c r="Q978"/>
      <c r="R978"/>
      <c r="S978"/>
      <c r="T978"/>
      <c r="U978"/>
      <c r="V978"/>
    </row>
    <row r="979" spans="13:22" s="1" customFormat="1">
      <c r="M979"/>
      <c r="N979"/>
      <c r="O979"/>
      <c r="P979"/>
      <c r="Q979"/>
      <c r="R979"/>
      <c r="S979"/>
      <c r="T979"/>
      <c r="U979"/>
      <c r="V979"/>
    </row>
    <row r="980" spans="13:22" s="1" customFormat="1">
      <c r="M980"/>
      <c r="N980"/>
      <c r="O980"/>
      <c r="P980"/>
      <c r="Q980"/>
      <c r="R980"/>
      <c r="S980"/>
      <c r="T980"/>
      <c r="U980"/>
      <c r="V980"/>
    </row>
    <row r="981" spans="13:22" s="1" customFormat="1">
      <c r="M981"/>
      <c r="N981"/>
      <c r="O981"/>
      <c r="P981"/>
      <c r="Q981"/>
      <c r="R981"/>
      <c r="S981"/>
      <c r="T981"/>
      <c r="U981"/>
      <c r="V981"/>
    </row>
    <row r="982" spans="13:22" s="1" customFormat="1">
      <c r="M982"/>
      <c r="N982"/>
      <c r="O982"/>
      <c r="P982"/>
      <c r="Q982"/>
      <c r="R982"/>
      <c r="S982"/>
      <c r="T982"/>
      <c r="U982"/>
      <c r="V982"/>
    </row>
    <row r="983" spans="13:22" s="1" customFormat="1">
      <c r="M983"/>
      <c r="N983"/>
      <c r="O983"/>
      <c r="P983"/>
      <c r="Q983"/>
      <c r="R983"/>
      <c r="S983"/>
      <c r="T983"/>
      <c r="U983"/>
      <c r="V983"/>
    </row>
    <row r="984" spans="13:22" s="1" customFormat="1">
      <c r="M984"/>
      <c r="N984"/>
      <c r="O984"/>
      <c r="P984"/>
      <c r="Q984"/>
      <c r="R984"/>
      <c r="S984"/>
      <c r="T984"/>
      <c r="U984"/>
      <c r="V984"/>
    </row>
    <row r="985" spans="13:22" s="1" customFormat="1">
      <c r="M985"/>
      <c r="N985"/>
      <c r="O985"/>
      <c r="P985"/>
      <c r="Q985"/>
      <c r="R985"/>
      <c r="S985"/>
      <c r="T985"/>
      <c r="U985"/>
      <c r="V985"/>
    </row>
    <row r="986" spans="13:22" s="1" customFormat="1">
      <c r="M986"/>
      <c r="N986"/>
      <c r="O986"/>
      <c r="P986"/>
      <c r="Q986"/>
      <c r="R986"/>
      <c r="S986"/>
      <c r="T986"/>
      <c r="U986"/>
      <c r="V986"/>
    </row>
    <row r="987" spans="13:22" s="1" customFormat="1">
      <c r="M987"/>
      <c r="N987"/>
      <c r="O987"/>
      <c r="P987"/>
      <c r="Q987"/>
      <c r="R987"/>
      <c r="S987"/>
      <c r="T987"/>
      <c r="U987"/>
      <c r="V987"/>
    </row>
    <row r="988" spans="13:22" s="1" customFormat="1">
      <c r="M988"/>
      <c r="N988"/>
      <c r="O988"/>
      <c r="P988"/>
      <c r="Q988"/>
      <c r="R988"/>
      <c r="S988"/>
      <c r="T988"/>
      <c r="U988"/>
      <c r="V988"/>
    </row>
    <row r="989" spans="13:22" s="1" customFormat="1">
      <c r="M989"/>
      <c r="N989"/>
      <c r="O989"/>
      <c r="P989"/>
      <c r="Q989"/>
      <c r="R989"/>
      <c r="S989"/>
      <c r="T989"/>
      <c r="U989"/>
      <c r="V989"/>
    </row>
    <row r="990" spans="13:22" s="1" customFormat="1">
      <c r="M990"/>
      <c r="N990"/>
      <c r="O990"/>
      <c r="P990"/>
      <c r="Q990"/>
      <c r="R990"/>
      <c r="S990"/>
      <c r="T990"/>
      <c r="U990"/>
      <c r="V990"/>
    </row>
    <row r="991" spans="13:22" s="1" customFormat="1">
      <c r="M991"/>
      <c r="N991"/>
      <c r="O991"/>
      <c r="P991"/>
      <c r="Q991"/>
      <c r="R991"/>
      <c r="S991"/>
      <c r="T991"/>
      <c r="U991"/>
      <c r="V991"/>
    </row>
    <row r="992" spans="13:22" s="1" customFormat="1">
      <c r="M992"/>
      <c r="N992"/>
      <c r="O992"/>
      <c r="P992"/>
      <c r="Q992"/>
      <c r="R992"/>
      <c r="S992"/>
      <c r="T992"/>
      <c r="U992"/>
      <c r="V992"/>
    </row>
    <row r="993" spans="13:22" s="1" customFormat="1">
      <c r="M993"/>
      <c r="N993"/>
      <c r="O993"/>
      <c r="P993"/>
      <c r="Q993"/>
      <c r="R993"/>
      <c r="S993"/>
      <c r="T993"/>
      <c r="U993"/>
      <c r="V993"/>
    </row>
    <row r="994" spans="13:22" s="1" customFormat="1">
      <c r="M994"/>
      <c r="N994"/>
      <c r="O994"/>
      <c r="P994"/>
      <c r="Q994"/>
      <c r="R994"/>
      <c r="S994"/>
      <c r="T994"/>
      <c r="U994"/>
      <c r="V994"/>
    </row>
    <row r="995" spans="13:22" s="1" customFormat="1">
      <c r="M995"/>
      <c r="N995"/>
      <c r="O995"/>
      <c r="P995"/>
      <c r="Q995"/>
      <c r="R995"/>
      <c r="S995"/>
      <c r="T995"/>
      <c r="U995"/>
      <c r="V995"/>
    </row>
    <row r="996" spans="13:22" s="1" customFormat="1">
      <c r="M996"/>
      <c r="N996"/>
      <c r="O996"/>
      <c r="P996"/>
      <c r="Q996"/>
      <c r="R996"/>
      <c r="S996"/>
      <c r="T996"/>
      <c r="U996"/>
      <c r="V996"/>
    </row>
    <row r="997" spans="13:22" s="1" customFormat="1">
      <c r="M997"/>
      <c r="N997"/>
      <c r="O997"/>
      <c r="P997"/>
      <c r="Q997"/>
      <c r="R997"/>
      <c r="S997"/>
      <c r="T997"/>
      <c r="U997"/>
      <c r="V997"/>
    </row>
    <row r="998" spans="13:22" s="1" customFormat="1">
      <c r="M998"/>
      <c r="N998"/>
      <c r="O998"/>
      <c r="P998"/>
      <c r="Q998"/>
      <c r="R998"/>
      <c r="S998"/>
      <c r="T998"/>
      <c r="U998"/>
      <c r="V998"/>
    </row>
    <row r="999" spans="13:22" s="1" customFormat="1">
      <c r="M999"/>
      <c r="N999"/>
      <c r="O999"/>
      <c r="P999"/>
      <c r="Q999"/>
      <c r="R999"/>
      <c r="S999"/>
      <c r="T999"/>
      <c r="U999"/>
      <c r="V999"/>
    </row>
    <row r="1000" spans="13:22" s="1" customFormat="1">
      <c r="M1000"/>
      <c r="N1000"/>
      <c r="O1000"/>
      <c r="P1000"/>
      <c r="Q1000"/>
      <c r="R1000"/>
      <c r="S1000"/>
      <c r="T1000"/>
      <c r="U1000"/>
      <c r="V1000"/>
    </row>
    <row r="1001" spans="13:22" s="1" customFormat="1">
      <c r="M1001"/>
      <c r="N1001"/>
      <c r="O1001"/>
      <c r="P1001"/>
      <c r="Q1001"/>
      <c r="R1001"/>
      <c r="S1001"/>
      <c r="T1001"/>
      <c r="U1001"/>
      <c r="V1001"/>
    </row>
    <row r="1002" spans="13:22" s="1" customFormat="1">
      <c r="M1002"/>
      <c r="N1002"/>
      <c r="O1002"/>
      <c r="P1002"/>
      <c r="Q1002"/>
      <c r="R1002"/>
      <c r="S1002"/>
      <c r="T1002"/>
      <c r="U1002"/>
      <c r="V1002"/>
    </row>
    <row r="1003" spans="13:22" s="1" customFormat="1">
      <c r="M1003"/>
      <c r="N1003"/>
      <c r="O1003"/>
      <c r="P1003"/>
      <c r="Q1003"/>
      <c r="R1003"/>
      <c r="S1003"/>
      <c r="T1003"/>
      <c r="U1003"/>
      <c r="V1003"/>
    </row>
    <row r="1004" spans="13:22" s="1" customFormat="1">
      <c r="M1004"/>
      <c r="N1004"/>
      <c r="O1004"/>
      <c r="P1004"/>
      <c r="Q1004"/>
      <c r="R1004"/>
      <c r="S1004"/>
      <c r="T1004"/>
      <c r="U1004"/>
      <c r="V1004"/>
    </row>
    <row r="1005" spans="13:22" s="1" customFormat="1">
      <c r="M1005"/>
      <c r="N1005"/>
      <c r="O1005"/>
      <c r="P1005"/>
      <c r="Q1005"/>
      <c r="R1005"/>
      <c r="S1005"/>
      <c r="T1005"/>
      <c r="U1005"/>
      <c r="V1005"/>
    </row>
    <row r="1006" spans="13:22" s="1" customFormat="1">
      <c r="M1006"/>
      <c r="N1006"/>
      <c r="O1006"/>
      <c r="P1006"/>
      <c r="Q1006"/>
      <c r="R1006"/>
      <c r="S1006"/>
      <c r="T1006"/>
      <c r="U1006"/>
      <c r="V1006"/>
    </row>
    <row r="1007" spans="13:22" s="1" customFormat="1">
      <c r="M1007"/>
      <c r="N1007"/>
      <c r="O1007"/>
      <c r="P1007"/>
      <c r="Q1007"/>
      <c r="R1007"/>
      <c r="S1007"/>
      <c r="T1007"/>
      <c r="U1007"/>
      <c r="V1007"/>
    </row>
    <row r="1008" spans="13:22" s="1" customFormat="1">
      <c r="M1008"/>
      <c r="N1008"/>
      <c r="O1008"/>
      <c r="P1008"/>
      <c r="Q1008"/>
      <c r="R1008"/>
      <c r="S1008"/>
      <c r="T1008"/>
      <c r="U1008"/>
      <c r="V1008"/>
    </row>
    <row r="1009" spans="13:22" s="1" customFormat="1">
      <c r="M1009"/>
      <c r="N1009"/>
      <c r="O1009"/>
      <c r="P1009"/>
      <c r="Q1009"/>
      <c r="R1009"/>
      <c r="S1009"/>
      <c r="T1009"/>
      <c r="U1009"/>
      <c r="V1009"/>
    </row>
    <row r="1010" spans="13:22" s="1" customFormat="1">
      <c r="M1010"/>
      <c r="N1010"/>
      <c r="O1010"/>
      <c r="P1010"/>
      <c r="Q1010"/>
      <c r="R1010"/>
      <c r="S1010"/>
      <c r="T1010"/>
      <c r="U1010"/>
      <c r="V1010"/>
    </row>
    <row r="1011" spans="13:22" s="1" customFormat="1">
      <c r="M1011"/>
      <c r="N1011"/>
      <c r="O1011"/>
      <c r="P1011"/>
      <c r="Q1011"/>
      <c r="R1011"/>
      <c r="S1011"/>
      <c r="T1011"/>
      <c r="U1011"/>
      <c r="V1011"/>
    </row>
    <row r="1012" spans="13:22" s="1" customFormat="1">
      <c r="M1012"/>
      <c r="N1012"/>
      <c r="O1012"/>
      <c r="P1012"/>
      <c r="Q1012"/>
      <c r="R1012"/>
      <c r="S1012"/>
      <c r="T1012"/>
      <c r="U1012"/>
      <c r="V1012"/>
    </row>
    <row r="1013" spans="13:22" s="1" customFormat="1">
      <c r="M1013"/>
      <c r="N1013"/>
      <c r="O1013"/>
      <c r="P1013"/>
      <c r="Q1013"/>
      <c r="R1013"/>
      <c r="S1013"/>
      <c r="T1013"/>
      <c r="U1013"/>
      <c r="V1013"/>
    </row>
    <row r="1014" spans="13:22" s="1" customFormat="1">
      <c r="M1014"/>
      <c r="N1014"/>
      <c r="O1014"/>
      <c r="P1014"/>
      <c r="Q1014"/>
      <c r="R1014"/>
      <c r="S1014"/>
      <c r="T1014"/>
      <c r="U1014"/>
      <c r="V1014"/>
    </row>
    <row r="1015" spans="13:22" s="1" customFormat="1">
      <c r="M1015"/>
      <c r="N1015"/>
      <c r="O1015"/>
      <c r="P1015"/>
      <c r="Q1015"/>
      <c r="R1015"/>
      <c r="S1015"/>
      <c r="T1015"/>
      <c r="U1015"/>
      <c r="V1015"/>
    </row>
    <row r="1016" spans="13:22" s="1" customFormat="1">
      <c r="M1016"/>
      <c r="N1016"/>
      <c r="O1016"/>
      <c r="P1016"/>
      <c r="Q1016"/>
      <c r="R1016"/>
      <c r="S1016"/>
      <c r="T1016"/>
      <c r="U1016"/>
      <c r="V1016"/>
    </row>
    <row r="1017" spans="13:22" s="1" customFormat="1">
      <c r="M1017"/>
      <c r="N1017"/>
      <c r="O1017"/>
      <c r="P1017"/>
      <c r="Q1017"/>
      <c r="R1017"/>
      <c r="S1017"/>
      <c r="T1017"/>
      <c r="U1017"/>
      <c r="V1017"/>
    </row>
    <row r="1018" spans="13:22" s="1" customFormat="1">
      <c r="M1018"/>
      <c r="N1018"/>
      <c r="O1018"/>
      <c r="P1018"/>
      <c r="Q1018"/>
      <c r="R1018"/>
      <c r="S1018"/>
      <c r="T1018"/>
      <c r="U1018"/>
      <c r="V1018"/>
    </row>
    <row r="1019" spans="13:22" s="1" customFormat="1">
      <c r="M1019"/>
      <c r="N1019"/>
      <c r="O1019"/>
      <c r="P1019"/>
      <c r="Q1019"/>
      <c r="R1019"/>
      <c r="S1019"/>
      <c r="T1019"/>
      <c r="U1019"/>
      <c r="V1019"/>
    </row>
    <row r="1020" spans="13:22" s="1" customFormat="1">
      <c r="M1020"/>
      <c r="N1020"/>
      <c r="O1020"/>
      <c r="P1020"/>
      <c r="Q1020"/>
      <c r="R1020"/>
      <c r="S1020"/>
      <c r="T1020"/>
      <c r="U1020"/>
      <c r="V1020"/>
    </row>
    <row r="1021" spans="13:22" s="1" customFormat="1">
      <c r="M1021"/>
      <c r="N1021"/>
      <c r="O1021"/>
      <c r="P1021"/>
      <c r="Q1021"/>
      <c r="R1021"/>
      <c r="S1021"/>
      <c r="T1021"/>
      <c r="U1021"/>
      <c r="V1021"/>
    </row>
    <row r="1022" spans="13:22" s="1" customFormat="1">
      <c r="M1022"/>
      <c r="N1022"/>
      <c r="O1022"/>
      <c r="P1022"/>
      <c r="Q1022"/>
      <c r="R1022"/>
      <c r="S1022"/>
      <c r="T1022"/>
      <c r="U1022"/>
      <c r="V1022"/>
    </row>
    <row r="1023" spans="13:22" s="1" customFormat="1">
      <c r="M1023"/>
      <c r="N1023"/>
      <c r="O1023"/>
      <c r="P1023"/>
      <c r="Q1023"/>
      <c r="R1023"/>
      <c r="S1023"/>
      <c r="T1023"/>
      <c r="U1023"/>
      <c r="V1023"/>
    </row>
    <row r="1024" spans="13:22" s="1" customFormat="1">
      <c r="M1024"/>
      <c r="N1024"/>
      <c r="O1024"/>
      <c r="P1024"/>
      <c r="Q1024"/>
      <c r="R1024"/>
      <c r="S1024"/>
      <c r="T1024"/>
      <c r="U1024"/>
      <c r="V1024"/>
    </row>
    <row r="1025" spans="13:22" s="1" customFormat="1">
      <c r="M1025"/>
      <c r="N1025"/>
      <c r="O1025"/>
      <c r="P1025"/>
      <c r="Q1025"/>
      <c r="R1025"/>
      <c r="S1025"/>
      <c r="T1025"/>
      <c r="U1025"/>
      <c r="V1025"/>
    </row>
    <row r="1026" spans="13:22" s="1" customFormat="1">
      <c r="M1026"/>
      <c r="N1026"/>
      <c r="O1026"/>
      <c r="P1026"/>
      <c r="Q1026"/>
      <c r="R1026"/>
      <c r="S1026"/>
      <c r="T1026"/>
      <c r="U1026"/>
      <c r="V1026"/>
    </row>
    <row r="1027" spans="13:22" s="1" customFormat="1">
      <c r="M1027"/>
      <c r="N1027"/>
      <c r="O1027"/>
      <c r="P1027"/>
      <c r="Q1027"/>
      <c r="R1027"/>
      <c r="S1027"/>
      <c r="T1027"/>
      <c r="U1027"/>
      <c r="V1027"/>
    </row>
    <row r="1028" spans="13:22" s="1" customFormat="1">
      <c r="M1028"/>
      <c r="N1028"/>
      <c r="O1028"/>
      <c r="P1028"/>
      <c r="Q1028"/>
      <c r="R1028"/>
      <c r="S1028"/>
      <c r="T1028"/>
      <c r="U1028"/>
      <c r="V1028"/>
    </row>
    <row r="1029" spans="13:22" s="1" customFormat="1">
      <c r="M1029"/>
      <c r="N1029"/>
      <c r="O1029"/>
      <c r="P1029"/>
      <c r="Q1029"/>
      <c r="R1029"/>
      <c r="S1029"/>
      <c r="T1029"/>
      <c r="U1029"/>
      <c r="V1029"/>
    </row>
    <row r="1030" spans="13:22" s="1" customFormat="1">
      <c r="M1030"/>
      <c r="N1030"/>
      <c r="O1030"/>
      <c r="P1030"/>
      <c r="Q1030"/>
      <c r="R1030"/>
      <c r="S1030"/>
      <c r="T1030"/>
      <c r="U1030"/>
      <c r="V1030"/>
    </row>
    <row r="1031" spans="13:22" s="1" customFormat="1">
      <c r="M1031"/>
      <c r="N1031"/>
      <c r="O1031"/>
      <c r="P1031"/>
      <c r="Q1031"/>
      <c r="R1031"/>
      <c r="S1031"/>
      <c r="T1031"/>
      <c r="U1031"/>
      <c r="V1031"/>
    </row>
    <row r="1032" spans="13:22" s="1" customFormat="1">
      <c r="M1032"/>
      <c r="N1032"/>
      <c r="O1032"/>
      <c r="P1032"/>
      <c r="Q1032"/>
      <c r="R1032"/>
      <c r="S1032"/>
      <c r="T1032"/>
      <c r="U1032"/>
      <c r="V1032"/>
    </row>
    <row r="1033" spans="13:22" s="1" customFormat="1">
      <c r="M1033"/>
      <c r="N1033"/>
      <c r="O1033"/>
      <c r="P1033"/>
      <c r="Q1033"/>
      <c r="R1033"/>
      <c r="S1033"/>
      <c r="T1033"/>
      <c r="U1033"/>
      <c r="V1033"/>
    </row>
    <row r="1034" spans="13:22" s="1" customFormat="1">
      <c r="M1034"/>
      <c r="N1034"/>
      <c r="O1034"/>
      <c r="P1034"/>
      <c r="Q1034"/>
      <c r="R1034"/>
      <c r="S1034"/>
      <c r="T1034"/>
      <c r="U1034"/>
      <c r="V1034"/>
    </row>
    <row r="1035" spans="13:22" s="1" customFormat="1">
      <c r="M1035"/>
      <c r="N1035"/>
      <c r="O1035"/>
      <c r="P1035"/>
      <c r="Q1035"/>
      <c r="R1035"/>
      <c r="S1035"/>
      <c r="T1035"/>
      <c r="U1035"/>
      <c r="V1035"/>
    </row>
    <row r="1036" spans="13:22" s="1" customFormat="1">
      <c r="M1036"/>
      <c r="N1036"/>
      <c r="O1036"/>
      <c r="P1036"/>
      <c r="Q1036"/>
      <c r="R1036"/>
      <c r="S1036"/>
      <c r="T1036"/>
      <c r="U1036"/>
      <c r="V1036"/>
    </row>
    <row r="1037" spans="13:22" s="1" customFormat="1">
      <c r="M1037"/>
      <c r="N1037"/>
      <c r="O1037"/>
      <c r="P1037"/>
      <c r="Q1037"/>
      <c r="R1037"/>
      <c r="S1037"/>
      <c r="T1037"/>
      <c r="U1037"/>
      <c r="V1037"/>
    </row>
    <row r="1038" spans="13:22" s="1" customFormat="1">
      <c r="M1038"/>
      <c r="N1038"/>
      <c r="O1038"/>
      <c r="P1038"/>
      <c r="Q1038"/>
      <c r="R1038"/>
      <c r="S1038"/>
      <c r="T1038"/>
      <c r="U1038"/>
      <c r="V1038"/>
    </row>
    <row r="1039" spans="13:22" s="1" customFormat="1">
      <c r="M1039"/>
      <c r="N1039"/>
      <c r="O1039"/>
      <c r="P1039"/>
      <c r="Q1039"/>
      <c r="R1039"/>
      <c r="S1039"/>
      <c r="T1039"/>
      <c r="U1039"/>
      <c r="V1039"/>
    </row>
    <row r="1040" spans="13:22" s="1" customFormat="1">
      <c r="M1040"/>
      <c r="N1040"/>
      <c r="O1040"/>
      <c r="P1040"/>
      <c r="Q1040"/>
      <c r="R1040"/>
      <c r="S1040"/>
      <c r="T1040"/>
      <c r="U1040"/>
      <c r="V1040"/>
    </row>
    <row r="1041" spans="13:22" s="1" customFormat="1">
      <c r="M1041"/>
      <c r="N1041"/>
      <c r="O1041"/>
      <c r="P1041"/>
      <c r="Q1041"/>
      <c r="R1041"/>
      <c r="S1041"/>
      <c r="T1041"/>
      <c r="U1041"/>
      <c r="V1041"/>
    </row>
    <row r="1042" spans="13:22" s="1" customFormat="1">
      <c r="M1042"/>
      <c r="N1042"/>
      <c r="O1042"/>
      <c r="P1042"/>
      <c r="Q1042"/>
      <c r="R1042"/>
      <c r="S1042"/>
      <c r="T1042"/>
      <c r="U1042"/>
      <c r="V1042"/>
    </row>
    <row r="1043" spans="13:22" s="1" customFormat="1">
      <c r="M1043"/>
      <c r="N1043"/>
      <c r="O1043"/>
      <c r="P1043"/>
      <c r="Q1043"/>
      <c r="R1043"/>
      <c r="S1043"/>
      <c r="T1043"/>
      <c r="U1043"/>
      <c r="V1043"/>
    </row>
    <row r="1044" spans="13:22" s="1" customFormat="1">
      <c r="M1044"/>
      <c r="N1044"/>
      <c r="O1044"/>
      <c r="P1044"/>
      <c r="Q1044"/>
      <c r="R1044"/>
      <c r="S1044"/>
      <c r="T1044"/>
      <c r="U1044"/>
      <c r="V1044"/>
    </row>
    <row r="1045" spans="13:22" s="1" customFormat="1">
      <c r="M1045"/>
      <c r="N1045"/>
      <c r="O1045"/>
      <c r="P1045"/>
      <c r="Q1045"/>
      <c r="R1045"/>
      <c r="S1045"/>
      <c r="T1045"/>
      <c r="U1045"/>
      <c r="V1045"/>
    </row>
    <row r="1046" spans="13:22" s="1" customFormat="1">
      <c r="M1046"/>
      <c r="N1046"/>
      <c r="O1046"/>
      <c r="P1046"/>
      <c r="Q1046"/>
      <c r="R1046"/>
      <c r="S1046"/>
      <c r="T1046"/>
      <c r="U1046"/>
      <c r="V1046"/>
    </row>
    <row r="1047" spans="13:22" s="1" customFormat="1">
      <c r="M1047"/>
      <c r="N1047"/>
      <c r="O1047"/>
      <c r="P1047"/>
      <c r="Q1047"/>
      <c r="R1047"/>
      <c r="S1047"/>
      <c r="T1047"/>
      <c r="U1047"/>
      <c r="V1047"/>
    </row>
    <row r="1048" spans="13:22" s="1" customFormat="1">
      <c r="M1048"/>
      <c r="N1048"/>
      <c r="O1048"/>
      <c r="P1048"/>
      <c r="Q1048"/>
      <c r="R1048"/>
      <c r="S1048"/>
      <c r="T1048"/>
      <c r="U1048"/>
      <c r="V1048"/>
    </row>
    <row r="1049" spans="13:22" s="1" customFormat="1">
      <c r="M1049"/>
      <c r="N1049"/>
      <c r="O1049"/>
      <c r="P1049"/>
      <c r="Q1049"/>
      <c r="R1049"/>
      <c r="S1049"/>
      <c r="T1049"/>
      <c r="U1049"/>
      <c r="V1049"/>
    </row>
    <row r="1050" spans="13:22" s="1" customFormat="1">
      <c r="M1050"/>
      <c r="N1050"/>
      <c r="O1050"/>
      <c r="P1050"/>
      <c r="Q1050"/>
      <c r="R1050"/>
      <c r="S1050"/>
      <c r="T1050"/>
      <c r="U1050"/>
      <c r="V1050"/>
    </row>
    <row r="1051" spans="13:22" s="1" customFormat="1">
      <c r="M1051"/>
      <c r="N1051"/>
      <c r="O1051"/>
      <c r="P1051"/>
      <c r="Q1051"/>
      <c r="R1051"/>
      <c r="S1051"/>
      <c r="T1051"/>
      <c r="U1051"/>
      <c r="V1051"/>
    </row>
    <row r="1052" spans="13:22" s="1" customFormat="1">
      <c r="M1052"/>
      <c r="N1052"/>
      <c r="O1052"/>
      <c r="P1052"/>
      <c r="Q1052"/>
      <c r="R1052"/>
      <c r="S1052"/>
      <c r="T1052"/>
      <c r="U1052"/>
      <c r="V1052"/>
    </row>
    <row r="1053" spans="13:22" s="1" customFormat="1">
      <c r="M1053"/>
      <c r="N1053"/>
      <c r="O1053"/>
      <c r="P1053"/>
      <c r="Q1053"/>
      <c r="R1053"/>
      <c r="S1053"/>
      <c r="T1053"/>
      <c r="U1053"/>
      <c r="V1053"/>
    </row>
    <row r="1054" spans="13:22" s="1" customFormat="1">
      <c r="M1054"/>
      <c r="N1054"/>
      <c r="O1054"/>
      <c r="P1054"/>
      <c r="Q1054"/>
      <c r="R1054"/>
      <c r="S1054"/>
      <c r="T1054"/>
      <c r="U1054"/>
      <c r="V1054"/>
    </row>
    <row r="1055" spans="13:22" s="1" customFormat="1">
      <c r="M1055"/>
      <c r="N1055"/>
      <c r="O1055"/>
      <c r="P1055"/>
      <c r="Q1055"/>
      <c r="R1055"/>
      <c r="S1055"/>
      <c r="T1055"/>
      <c r="U1055"/>
      <c r="V1055"/>
    </row>
    <row r="1056" spans="13:22" s="1" customFormat="1">
      <c r="M1056"/>
      <c r="N1056"/>
      <c r="O1056"/>
      <c r="P1056"/>
      <c r="Q1056"/>
      <c r="R1056"/>
      <c r="S1056"/>
      <c r="T1056"/>
      <c r="U1056"/>
      <c r="V1056"/>
    </row>
    <row r="1057" spans="13:22" s="1" customFormat="1">
      <c r="M1057"/>
      <c r="N1057"/>
      <c r="O1057"/>
      <c r="P1057"/>
      <c r="Q1057"/>
      <c r="R1057"/>
      <c r="S1057"/>
      <c r="T1057"/>
      <c r="U1057"/>
      <c r="V1057"/>
    </row>
    <row r="1058" spans="13:22" s="1" customFormat="1">
      <c r="M1058"/>
      <c r="N1058"/>
      <c r="O1058"/>
      <c r="P1058"/>
      <c r="Q1058"/>
      <c r="R1058"/>
      <c r="S1058"/>
      <c r="T1058"/>
      <c r="U1058"/>
      <c r="V1058"/>
    </row>
    <row r="1059" spans="13:22" s="1" customFormat="1">
      <c r="M1059"/>
      <c r="N1059"/>
      <c r="O1059"/>
      <c r="P1059"/>
      <c r="Q1059"/>
      <c r="R1059"/>
      <c r="S1059"/>
      <c r="T1059"/>
      <c r="U1059"/>
      <c r="V1059"/>
    </row>
    <row r="1060" spans="13:22" s="1" customFormat="1">
      <c r="M1060"/>
      <c r="N1060"/>
      <c r="O1060"/>
      <c r="P1060"/>
      <c r="Q1060"/>
      <c r="R1060"/>
      <c r="S1060"/>
      <c r="T1060"/>
      <c r="U1060"/>
      <c r="V1060"/>
    </row>
    <row r="1061" spans="13:22" s="1" customFormat="1">
      <c r="M1061"/>
      <c r="N1061"/>
      <c r="O1061"/>
      <c r="P1061"/>
      <c r="Q1061"/>
      <c r="R1061"/>
      <c r="S1061"/>
      <c r="T1061"/>
      <c r="U1061"/>
      <c r="V1061"/>
    </row>
    <row r="1062" spans="13:22" s="1" customFormat="1">
      <c r="M1062"/>
      <c r="N1062"/>
      <c r="O1062"/>
      <c r="P1062"/>
      <c r="Q1062"/>
      <c r="R1062"/>
      <c r="S1062"/>
      <c r="T1062"/>
      <c r="U1062"/>
      <c r="V1062"/>
    </row>
    <row r="1063" spans="13:22" s="1" customFormat="1">
      <c r="M1063"/>
      <c r="N1063"/>
      <c r="O1063"/>
      <c r="P1063"/>
      <c r="Q1063"/>
      <c r="R1063"/>
      <c r="S1063"/>
      <c r="T1063"/>
      <c r="U1063"/>
      <c r="V1063"/>
    </row>
    <row r="1064" spans="13:22" s="1" customFormat="1">
      <c r="M1064"/>
      <c r="N1064"/>
      <c r="O1064"/>
      <c r="P1064"/>
      <c r="Q1064"/>
      <c r="R1064"/>
      <c r="S1064"/>
      <c r="T1064"/>
      <c r="U1064"/>
      <c r="V1064"/>
    </row>
    <row r="1065" spans="13:22" s="1" customFormat="1">
      <c r="M1065"/>
      <c r="N1065"/>
      <c r="O1065"/>
      <c r="P1065"/>
      <c r="Q1065"/>
      <c r="R1065"/>
      <c r="S1065"/>
      <c r="T1065"/>
      <c r="U1065"/>
      <c r="V1065"/>
    </row>
    <row r="1066" spans="13:22" s="1" customFormat="1">
      <c r="M1066"/>
      <c r="N1066"/>
      <c r="O1066"/>
      <c r="P1066"/>
      <c r="Q1066"/>
      <c r="R1066"/>
      <c r="S1066"/>
      <c r="T1066"/>
      <c r="U1066"/>
      <c r="V1066"/>
    </row>
    <row r="1067" spans="13:22" s="1" customFormat="1">
      <c r="M1067"/>
      <c r="N1067"/>
      <c r="O1067"/>
      <c r="P1067"/>
      <c r="Q1067"/>
      <c r="R1067"/>
      <c r="S1067"/>
      <c r="T1067"/>
      <c r="U1067"/>
      <c r="V1067"/>
    </row>
    <row r="1068" spans="13:22" s="1" customFormat="1">
      <c r="M1068"/>
      <c r="N1068"/>
      <c r="O1068"/>
      <c r="P1068"/>
      <c r="Q1068"/>
      <c r="R1068"/>
      <c r="S1068"/>
      <c r="T1068"/>
      <c r="U1068"/>
      <c r="V1068"/>
    </row>
    <row r="1069" spans="13:22" s="1" customFormat="1">
      <c r="M1069"/>
      <c r="N1069"/>
      <c r="O1069"/>
      <c r="P1069"/>
      <c r="Q1069"/>
      <c r="R1069"/>
      <c r="S1069"/>
      <c r="T1069"/>
      <c r="U1069"/>
      <c r="V1069"/>
    </row>
    <row r="1070" spans="13:22" s="1" customFormat="1">
      <c r="M1070"/>
      <c r="N1070"/>
      <c r="O1070"/>
      <c r="P1070"/>
      <c r="Q1070"/>
      <c r="R1070"/>
      <c r="S1070"/>
      <c r="T1070"/>
      <c r="U1070"/>
      <c r="V1070"/>
    </row>
    <row r="1071" spans="13:22" s="1" customFormat="1">
      <c r="M1071"/>
      <c r="N1071"/>
      <c r="O1071"/>
      <c r="P1071"/>
      <c r="Q1071"/>
      <c r="R1071"/>
      <c r="S1071"/>
      <c r="T1071"/>
      <c r="U1071"/>
      <c r="V1071"/>
    </row>
    <row r="1072" spans="13:22" s="1" customFormat="1">
      <c r="M1072"/>
      <c r="N1072"/>
      <c r="O1072"/>
      <c r="P1072"/>
      <c r="Q1072"/>
      <c r="R1072"/>
      <c r="S1072"/>
      <c r="T1072"/>
      <c r="U1072"/>
      <c r="V1072"/>
    </row>
    <row r="1073" spans="13:22" s="1" customFormat="1">
      <c r="M1073"/>
      <c r="N1073"/>
      <c r="O1073"/>
      <c r="P1073"/>
      <c r="Q1073"/>
      <c r="R1073"/>
      <c r="S1073"/>
      <c r="T1073"/>
      <c r="U1073"/>
      <c r="V1073"/>
    </row>
    <row r="1074" spans="13:22" s="1" customFormat="1">
      <c r="M1074"/>
      <c r="N1074"/>
      <c r="O1074"/>
      <c r="P1074"/>
      <c r="Q1074"/>
      <c r="R1074"/>
      <c r="S1074"/>
      <c r="T1074"/>
      <c r="U1074"/>
      <c r="V1074"/>
    </row>
    <row r="1075" spans="13:22" s="1" customFormat="1">
      <c r="M1075"/>
      <c r="N1075"/>
      <c r="O1075"/>
      <c r="P1075"/>
      <c r="Q1075"/>
      <c r="R1075"/>
      <c r="S1075"/>
      <c r="T1075"/>
      <c r="U1075"/>
      <c r="V1075"/>
    </row>
    <row r="1076" spans="13:22" s="1" customFormat="1">
      <c r="M1076"/>
      <c r="N1076"/>
      <c r="O1076"/>
      <c r="P1076"/>
      <c r="Q1076"/>
      <c r="R1076"/>
      <c r="S1076"/>
      <c r="T1076"/>
      <c r="U1076"/>
      <c r="V1076"/>
    </row>
    <row r="1077" spans="13:22" s="1" customFormat="1">
      <c r="M1077"/>
      <c r="N1077"/>
      <c r="O1077"/>
      <c r="P1077"/>
      <c r="Q1077"/>
      <c r="R1077"/>
      <c r="S1077"/>
      <c r="T1077"/>
      <c r="U1077"/>
      <c r="V1077"/>
    </row>
    <row r="1078" spans="13:22" s="1" customFormat="1">
      <c r="M1078"/>
      <c r="N1078"/>
      <c r="O1078"/>
      <c r="P1078"/>
      <c r="Q1078"/>
      <c r="R1078"/>
      <c r="S1078"/>
      <c r="T1078"/>
      <c r="U1078"/>
      <c r="V1078"/>
    </row>
    <row r="1079" spans="13:22" s="1" customFormat="1">
      <c r="M1079"/>
      <c r="N1079"/>
      <c r="O1079"/>
      <c r="P1079"/>
      <c r="Q1079"/>
      <c r="R1079"/>
      <c r="S1079"/>
      <c r="T1079"/>
      <c r="U1079"/>
      <c r="V1079"/>
    </row>
    <row r="1080" spans="13:22" s="1" customFormat="1">
      <c r="M1080"/>
      <c r="N1080"/>
      <c r="O1080"/>
      <c r="P1080"/>
      <c r="Q1080"/>
      <c r="R1080"/>
      <c r="S1080"/>
      <c r="T1080"/>
      <c r="U1080"/>
      <c r="V1080"/>
    </row>
    <row r="1081" spans="13:22" s="1" customFormat="1">
      <c r="M1081"/>
      <c r="N1081"/>
      <c r="O1081"/>
      <c r="P1081"/>
      <c r="Q1081"/>
      <c r="R1081"/>
      <c r="S1081"/>
      <c r="T1081"/>
      <c r="U1081"/>
      <c r="V1081"/>
    </row>
    <row r="1082" spans="13:22" s="1" customFormat="1">
      <c r="M1082"/>
      <c r="N1082"/>
      <c r="O1082"/>
      <c r="P1082"/>
      <c r="Q1082"/>
      <c r="R1082"/>
      <c r="S1082"/>
      <c r="T1082"/>
      <c r="U1082"/>
      <c r="V1082"/>
    </row>
    <row r="1083" spans="13:22" s="1" customFormat="1">
      <c r="M1083"/>
      <c r="N1083"/>
      <c r="O1083"/>
      <c r="P1083"/>
      <c r="Q1083"/>
      <c r="R1083"/>
      <c r="S1083"/>
      <c r="T1083"/>
      <c r="U1083"/>
      <c r="V1083"/>
    </row>
    <row r="1084" spans="13:22" s="1" customFormat="1">
      <c r="M1084"/>
      <c r="N1084"/>
      <c r="O1084"/>
      <c r="P1084"/>
      <c r="Q1084"/>
      <c r="R1084"/>
      <c r="S1084"/>
      <c r="T1084"/>
      <c r="U1084"/>
      <c r="V1084"/>
    </row>
    <row r="1085" spans="13:22" s="1" customFormat="1">
      <c r="M1085"/>
      <c r="N1085"/>
      <c r="O1085"/>
      <c r="P1085"/>
      <c r="Q1085"/>
      <c r="R1085"/>
      <c r="S1085"/>
      <c r="T1085"/>
      <c r="U1085"/>
      <c r="V1085"/>
    </row>
    <row r="1086" spans="13:22" s="1" customFormat="1">
      <c r="M1086"/>
      <c r="N1086"/>
      <c r="O1086"/>
      <c r="P1086"/>
      <c r="Q1086"/>
      <c r="R1086"/>
      <c r="S1086"/>
      <c r="T1086"/>
      <c r="U1086"/>
      <c r="V1086"/>
    </row>
    <row r="1087" spans="13:22" s="1" customFormat="1">
      <c r="M1087"/>
      <c r="N1087"/>
      <c r="O1087"/>
      <c r="P1087"/>
      <c r="Q1087"/>
      <c r="R1087"/>
      <c r="S1087"/>
      <c r="T1087"/>
      <c r="U1087"/>
      <c r="V1087"/>
    </row>
    <row r="1088" spans="13:22" s="1" customFormat="1">
      <c r="M1088"/>
      <c r="N1088"/>
      <c r="O1088"/>
      <c r="P1088"/>
      <c r="Q1088"/>
      <c r="R1088"/>
      <c r="S1088"/>
      <c r="T1088"/>
      <c r="U1088"/>
      <c r="V1088"/>
    </row>
    <row r="1089" spans="13:22" s="1" customFormat="1">
      <c r="M1089"/>
      <c r="N1089"/>
      <c r="O1089"/>
      <c r="P1089"/>
      <c r="Q1089"/>
      <c r="R1089"/>
      <c r="S1089"/>
      <c r="T1089"/>
      <c r="U1089"/>
      <c r="V1089"/>
    </row>
    <row r="1090" spans="13:22" s="1" customFormat="1">
      <c r="M1090"/>
      <c r="N1090"/>
      <c r="O1090"/>
      <c r="P1090"/>
      <c r="Q1090"/>
      <c r="R1090"/>
      <c r="S1090"/>
      <c r="T1090"/>
      <c r="U1090"/>
      <c r="V1090"/>
    </row>
    <row r="1091" spans="13:22" s="1" customFormat="1">
      <c r="M1091"/>
      <c r="N1091"/>
      <c r="O1091"/>
      <c r="P1091"/>
      <c r="Q1091"/>
      <c r="R1091"/>
      <c r="S1091"/>
      <c r="T1091"/>
      <c r="U1091"/>
      <c r="V1091"/>
    </row>
    <row r="1092" spans="13:22" s="1" customFormat="1">
      <c r="M1092"/>
      <c r="N1092"/>
      <c r="O1092"/>
      <c r="P1092"/>
      <c r="Q1092"/>
      <c r="R1092"/>
      <c r="S1092"/>
      <c r="T1092"/>
      <c r="U1092"/>
      <c r="V1092"/>
    </row>
    <row r="1093" spans="13:22" s="1" customFormat="1">
      <c r="M1093"/>
      <c r="N1093"/>
      <c r="O1093"/>
      <c r="P1093"/>
      <c r="Q1093"/>
      <c r="R1093"/>
      <c r="S1093"/>
      <c r="T1093"/>
      <c r="U1093"/>
      <c r="V1093"/>
    </row>
    <row r="1094" spans="13:22" s="1" customFormat="1">
      <c r="M1094"/>
      <c r="N1094"/>
      <c r="O1094"/>
      <c r="P1094"/>
      <c r="Q1094"/>
      <c r="R1094"/>
      <c r="S1094"/>
      <c r="T1094"/>
      <c r="U1094"/>
      <c r="V1094"/>
    </row>
    <row r="1095" spans="13:22" s="1" customFormat="1">
      <c r="M1095"/>
      <c r="N1095"/>
      <c r="O1095"/>
      <c r="P1095"/>
      <c r="Q1095"/>
      <c r="R1095"/>
      <c r="S1095"/>
      <c r="T1095"/>
      <c r="U1095"/>
      <c r="V1095"/>
    </row>
    <row r="1096" spans="13:22" s="1" customFormat="1">
      <c r="M1096"/>
      <c r="N1096"/>
      <c r="O1096"/>
      <c r="P1096"/>
      <c r="Q1096"/>
      <c r="R1096"/>
      <c r="S1096"/>
      <c r="T1096"/>
      <c r="U1096"/>
      <c r="V1096"/>
    </row>
    <row r="1097" spans="13:22" s="1" customFormat="1">
      <c r="M1097"/>
      <c r="N1097"/>
      <c r="O1097"/>
      <c r="P1097"/>
      <c r="Q1097"/>
      <c r="R1097"/>
      <c r="S1097"/>
      <c r="T1097"/>
      <c r="U1097"/>
      <c r="V1097"/>
    </row>
    <row r="1098" spans="13:22" s="1" customFormat="1">
      <c r="M1098"/>
      <c r="N1098"/>
      <c r="O1098"/>
      <c r="P1098"/>
      <c r="Q1098"/>
      <c r="R1098"/>
      <c r="S1098"/>
      <c r="T1098"/>
      <c r="U1098"/>
      <c r="V1098"/>
    </row>
    <row r="1099" spans="13:22" s="1" customFormat="1">
      <c r="M1099"/>
      <c r="N1099"/>
      <c r="O1099"/>
      <c r="P1099"/>
      <c r="Q1099"/>
      <c r="R1099"/>
      <c r="S1099"/>
      <c r="T1099"/>
      <c r="U1099"/>
      <c r="V1099"/>
    </row>
    <row r="1100" spans="13:22" s="1" customFormat="1">
      <c r="M1100"/>
      <c r="N1100"/>
      <c r="O1100"/>
      <c r="P1100"/>
      <c r="Q1100"/>
      <c r="R1100"/>
      <c r="S1100"/>
      <c r="T1100"/>
      <c r="U1100"/>
      <c r="V1100"/>
    </row>
    <row r="1101" spans="13:22" s="1" customFormat="1">
      <c r="M1101"/>
      <c r="N1101"/>
      <c r="O1101"/>
      <c r="P1101"/>
      <c r="Q1101"/>
      <c r="R1101"/>
      <c r="S1101"/>
      <c r="T1101"/>
      <c r="U1101"/>
      <c r="V1101"/>
    </row>
    <row r="1102" spans="13:22" s="1" customFormat="1">
      <c r="M1102"/>
      <c r="N1102"/>
      <c r="O1102"/>
      <c r="P1102"/>
      <c r="Q1102"/>
      <c r="R1102"/>
      <c r="S1102"/>
      <c r="T1102"/>
      <c r="U1102"/>
      <c r="V1102"/>
    </row>
    <row r="1103" spans="13:22" s="1" customFormat="1">
      <c r="M1103"/>
      <c r="N1103"/>
      <c r="O1103"/>
      <c r="P1103"/>
      <c r="Q1103"/>
      <c r="R1103"/>
      <c r="S1103"/>
      <c r="T1103"/>
      <c r="U1103"/>
      <c r="V1103"/>
    </row>
    <row r="1104" spans="13:22" s="1" customFormat="1">
      <c r="M1104"/>
      <c r="N1104"/>
      <c r="O1104"/>
      <c r="P1104"/>
      <c r="Q1104"/>
      <c r="R1104"/>
      <c r="S1104"/>
      <c r="T1104"/>
      <c r="U1104"/>
      <c r="V1104"/>
    </row>
    <row r="1105" spans="13:22" s="1" customFormat="1">
      <c r="M1105"/>
      <c r="N1105"/>
      <c r="O1105"/>
      <c r="P1105"/>
      <c r="Q1105"/>
      <c r="R1105"/>
      <c r="S1105"/>
      <c r="T1105"/>
      <c r="U1105"/>
      <c r="V1105"/>
    </row>
    <row r="1106" spans="13:22" s="1" customFormat="1">
      <c r="M1106"/>
      <c r="N1106"/>
      <c r="O1106"/>
      <c r="P1106"/>
      <c r="Q1106"/>
      <c r="R1106"/>
      <c r="S1106"/>
      <c r="T1106"/>
      <c r="U1106"/>
      <c r="V1106"/>
    </row>
    <row r="1107" spans="13:22" s="1" customFormat="1">
      <c r="M1107"/>
      <c r="N1107"/>
      <c r="O1107"/>
      <c r="P1107"/>
      <c r="Q1107"/>
      <c r="R1107"/>
      <c r="S1107"/>
      <c r="T1107"/>
      <c r="U1107"/>
      <c r="V1107"/>
    </row>
    <row r="1108" spans="13:22" s="1" customFormat="1">
      <c r="M1108"/>
      <c r="N1108"/>
      <c r="O1108"/>
      <c r="P1108"/>
      <c r="Q1108"/>
      <c r="R1108"/>
      <c r="S1108"/>
      <c r="T1108"/>
      <c r="U1108"/>
      <c r="V1108"/>
    </row>
    <row r="1109" spans="13:22" s="1" customFormat="1">
      <c r="M1109"/>
      <c r="N1109"/>
      <c r="O1109"/>
      <c r="P1109"/>
      <c r="Q1109"/>
      <c r="R1109"/>
      <c r="S1109"/>
      <c r="T1109"/>
      <c r="U1109"/>
      <c r="V1109"/>
    </row>
    <row r="1110" spans="13:22" s="1" customFormat="1">
      <c r="M1110"/>
      <c r="N1110"/>
      <c r="O1110"/>
      <c r="P1110"/>
      <c r="Q1110"/>
      <c r="R1110"/>
      <c r="S1110"/>
      <c r="T1110"/>
      <c r="U1110"/>
      <c r="V1110"/>
    </row>
    <row r="1111" spans="13:22" s="1" customFormat="1">
      <c r="M1111"/>
      <c r="N1111"/>
      <c r="O1111"/>
      <c r="P1111"/>
      <c r="Q1111"/>
      <c r="R1111"/>
      <c r="S1111"/>
      <c r="T1111"/>
      <c r="U1111"/>
      <c r="V1111"/>
    </row>
    <row r="1112" spans="13:22" s="1" customFormat="1">
      <c r="M1112"/>
      <c r="N1112"/>
      <c r="O1112"/>
      <c r="P1112"/>
      <c r="Q1112"/>
      <c r="R1112"/>
      <c r="S1112"/>
      <c r="T1112"/>
      <c r="U1112"/>
      <c r="V1112"/>
    </row>
    <row r="1113" spans="13:22" s="1" customFormat="1">
      <c r="M1113"/>
      <c r="N1113"/>
      <c r="O1113"/>
      <c r="P1113"/>
      <c r="Q1113"/>
      <c r="R1113"/>
      <c r="S1113"/>
      <c r="T1113"/>
      <c r="U1113"/>
      <c r="V1113"/>
    </row>
    <row r="1114" spans="13:22" s="1" customFormat="1">
      <c r="M1114"/>
      <c r="N1114"/>
      <c r="O1114"/>
      <c r="P1114"/>
      <c r="Q1114"/>
      <c r="R1114"/>
      <c r="S1114"/>
      <c r="T1114"/>
      <c r="U1114"/>
      <c r="V1114"/>
    </row>
    <row r="1115" spans="13:22" s="1" customFormat="1">
      <c r="M1115"/>
      <c r="N1115"/>
      <c r="O1115"/>
      <c r="P1115"/>
      <c r="Q1115"/>
      <c r="R1115"/>
      <c r="S1115"/>
      <c r="T1115"/>
      <c r="U1115"/>
      <c r="V1115"/>
    </row>
    <row r="1116" spans="13:22" s="1" customFormat="1">
      <c r="M1116"/>
      <c r="N1116"/>
      <c r="O1116"/>
      <c r="P1116"/>
      <c r="Q1116"/>
      <c r="R1116"/>
      <c r="S1116"/>
      <c r="T1116"/>
      <c r="U1116"/>
      <c r="V1116"/>
    </row>
    <row r="1117" spans="13:22" s="1" customFormat="1">
      <c r="M1117"/>
      <c r="N1117"/>
      <c r="O1117"/>
      <c r="P1117"/>
      <c r="Q1117"/>
      <c r="R1117"/>
      <c r="S1117"/>
      <c r="T1117"/>
      <c r="U1117"/>
      <c r="V1117"/>
    </row>
    <row r="1118" spans="13:22" s="1" customFormat="1">
      <c r="M1118"/>
      <c r="N1118"/>
      <c r="O1118"/>
      <c r="P1118"/>
      <c r="Q1118"/>
      <c r="R1118"/>
      <c r="S1118"/>
      <c r="T1118"/>
      <c r="U1118"/>
      <c r="V1118"/>
    </row>
    <row r="1119" spans="13:22" s="1" customFormat="1">
      <c r="M1119"/>
      <c r="N1119"/>
      <c r="O1119"/>
      <c r="P1119"/>
      <c r="Q1119"/>
      <c r="R1119"/>
      <c r="S1119"/>
      <c r="T1119"/>
      <c r="U1119"/>
      <c r="V1119"/>
    </row>
    <row r="1120" spans="13:22" s="1" customFormat="1">
      <c r="M1120"/>
      <c r="N1120"/>
      <c r="O1120"/>
      <c r="P1120"/>
      <c r="Q1120"/>
      <c r="R1120"/>
      <c r="S1120"/>
      <c r="T1120"/>
      <c r="U1120"/>
      <c r="V1120"/>
    </row>
    <row r="1121" spans="13:22" s="1" customFormat="1">
      <c r="M1121"/>
      <c r="N1121"/>
      <c r="O1121"/>
      <c r="P1121"/>
      <c r="Q1121"/>
      <c r="R1121"/>
      <c r="S1121"/>
      <c r="T1121"/>
      <c r="U1121"/>
      <c r="V1121"/>
    </row>
    <row r="1122" spans="13:22" s="1" customFormat="1">
      <c r="M1122"/>
      <c r="N1122"/>
      <c r="O1122"/>
      <c r="P1122"/>
      <c r="Q1122"/>
      <c r="R1122"/>
      <c r="S1122"/>
      <c r="T1122"/>
      <c r="U1122"/>
      <c r="V1122"/>
    </row>
    <row r="1123" spans="13:22" s="1" customFormat="1">
      <c r="M1123"/>
      <c r="N1123"/>
      <c r="O1123"/>
      <c r="P1123"/>
      <c r="Q1123"/>
      <c r="R1123"/>
      <c r="S1123"/>
      <c r="T1123"/>
      <c r="U1123"/>
      <c r="V1123"/>
    </row>
    <row r="1124" spans="13:22" s="1" customFormat="1">
      <c r="M1124"/>
      <c r="N1124"/>
      <c r="O1124"/>
      <c r="P1124"/>
      <c r="Q1124"/>
      <c r="R1124"/>
      <c r="S1124"/>
      <c r="T1124"/>
      <c r="U1124"/>
      <c r="V1124"/>
    </row>
    <row r="1125" spans="13:22" s="1" customFormat="1">
      <c r="M1125"/>
      <c r="N1125"/>
      <c r="O1125"/>
      <c r="P1125"/>
      <c r="Q1125"/>
      <c r="R1125"/>
      <c r="S1125"/>
      <c r="T1125"/>
      <c r="U1125"/>
      <c r="V1125"/>
    </row>
    <row r="1126" spans="13:22" s="1" customFormat="1">
      <c r="M1126"/>
      <c r="N1126"/>
      <c r="O1126"/>
      <c r="P1126"/>
      <c r="Q1126"/>
      <c r="R1126"/>
      <c r="S1126"/>
      <c r="T1126"/>
      <c r="U1126"/>
      <c r="V1126"/>
    </row>
    <row r="1127" spans="13:22" s="1" customFormat="1">
      <c r="M1127"/>
      <c r="N1127"/>
      <c r="O1127"/>
      <c r="P1127"/>
      <c r="Q1127"/>
      <c r="R1127"/>
      <c r="S1127"/>
      <c r="T1127"/>
      <c r="U1127"/>
      <c r="V1127"/>
    </row>
    <row r="1128" spans="13:22" s="1" customFormat="1">
      <c r="M1128"/>
      <c r="N1128"/>
      <c r="O1128"/>
      <c r="P1128"/>
      <c r="Q1128"/>
      <c r="R1128"/>
      <c r="S1128"/>
      <c r="T1128"/>
      <c r="U1128"/>
      <c r="V1128"/>
    </row>
    <row r="1129" spans="13:22" s="1" customFormat="1">
      <c r="M1129"/>
      <c r="N1129"/>
      <c r="O1129"/>
      <c r="P1129"/>
      <c r="Q1129"/>
      <c r="R1129"/>
      <c r="S1129"/>
      <c r="T1129"/>
      <c r="U1129"/>
      <c r="V1129"/>
    </row>
    <row r="1130" spans="13:22" s="1" customFormat="1">
      <c r="M1130"/>
      <c r="N1130"/>
      <c r="O1130"/>
      <c r="P1130"/>
      <c r="Q1130"/>
      <c r="R1130"/>
      <c r="S1130"/>
      <c r="T1130"/>
      <c r="U1130"/>
      <c r="V1130"/>
    </row>
    <row r="1131" spans="13:22" s="1" customFormat="1">
      <c r="M1131"/>
      <c r="N1131"/>
      <c r="O1131"/>
      <c r="P1131"/>
      <c r="Q1131"/>
      <c r="R1131"/>
      <c r="S1131"/>
      <c r="T1131"/>
      <c r="U1131"/>
      <c r="V1131"/>
    </row>
    <row r="1132" spans="13:22" s="1" customFormat="1">
      <c r="M1132"/>
      <c r="N1132"/>
      <c r="O1132"/>
      <c r="P1132"/>
      <c r="Q1132"/>
      <c r="R1132"/>
      <c r="S1132"/>
      <c r="T1132"/>
      <c r="U1132"/>
      <c r="V1132"/>
    </row>
    <row r="1133" spans="13:22" s="1" customFormat="1">
      <c r="M1133"/>
      <c r="N1133"/>
      <c r="O1133"/>
      <c r="P1133"/>
      <c r="Q1133"/>
      <c r="R1133"/>
      <c r="S1133"/>
      <c r="T1133"/>
      <c r="U1133"/>
      <c r="V1133"/>
    </row>
    <row r="1134" spans="13:22" s="1" customFormat="1">
      <c r="M1134"/>
      <c r="N1134"/>
      <c r="O1134"/>
      <c r="P1134"/>
      <c r="Q1134"/>
      <c r="R1134"/>
      <c r="S1134"/>
      <c r="T1134"/>
      <c r="U1134"/>
      <c r="V1134"/>
    </row>
    <row r="1135" spans="13:22" s="1" customFormat="1">
      <c r="M1135"/>
      <c r="N1135"/>
      <c r="O1135"/>
      <c r="P1135"/>
      <c r="Q1135"/>
      <c r="R1135"/>
      <c r="S1135"/>
      <c r="T1135"/>
      <c r="U1135"/>
      <c r="V1135"/>
    </row>
    <row r="1136" spans="13:22" s="1" customFormat="1">
      <c r="M1136"/>
      <c r="N1136"/>
      <c r="O1136"/>
      <c r="P1136"/>
      <c r="Q1136"/>
      <c r="R1136"/>
      <c r="S1136"/>
      <c r="T1136"/>
      <c r="U1136"/>
      <c r="V1136"/>
    </row>
    <row r="1137" spans="13:22" s="1" customFormat="1">
      <c r="M1137"/>
      <c r="N1137"/>
      <c r="O1137"/>
      <c r="P1137"/>
      <c r="Q1137"/>
      <c r="R1137"/>
      <c r="S1137"/>
      <c r="T1137"/>
      <c r="U1137"/>
      <c r="V1137"/>
    </row>
    <row r="1138" spans="13:22" s="1" customFormat="1">
      <c r="M1138"/>
      <c r="N1138"/>
      <c r="O1138"/>
      <c r="P1138"/>
      <c r="Q1138"/>
      <c r="R1138"/>
      <c r="S1138"/>
      <c r="T1138"/>
      <c r="U1138"/>
      <c r="V1138"/>
    </row>
    <row r="1139" spans="13:22" s="1" customFormat="1">
      <c r="M1139"/>
      <c r="N1139"/>
      <c r="O1139"/>
      <c r="P1139"/>
      <c r="Q1139"/>
      <c r="R1139"/>
      <c r="S1139"/>
      <c r="T1139"/>
      <c r="U1139"/>
      <c r="V1139"/>
    </row>
    <row r="1140" spans="13:22" s="1" customFormat="1">
      <c r="M1140"/>
      <c r="N1140"/>
      <c r="O1140"/>
      <c r="P1140"/>
      <c r="Q1140"/>
      <c r="R1140"/>
      <c r="S1140"/>
      <c r="T1140"/>
      <c r="U1140"/>
      <c r="V1140"/>
    </row>
    <row r="1141" spans="13:22" s="1" customFormat="1">
      <c r="M1141"/>
      <c r="N1141"/>
      <c r="O1141"/>
      <c r="P1141"/>
      <c r="Q1141"/>
      <c r="R1141"/>
      <c r="S1141"/>
      <c r="T1141"/>
      <c r="U1141"/>
      <c r="V1141"/>
    </row>
    <row r="1142" spans="13:22" s="1" customFormat="1">
      <c r="M1142"/>
      <c r="N1142"/>
      <c r="O1142"/>
      <c r="P1142"/>
      <c r="Q1142"/>
      <c r="R1142"/>
      <c r="S1142"/>
      <c r="T1142"/>
      <c r="U1142"/>
      <c r="V1142"/>
    </row>
    <row r="1143" spans="13:22" s="1" customFormat="1">
      <c r="M1143"/>
      <c r="N1143"/>
      <c r="O1143"/>
      <c r="P1143"/>
      <c r="Q1143"/>
      <c r="R1143"/>
      <c r="S1143"/>
      <c r="T1143"/>
      <c r="U1143"/>
      <c r="V1143"/>
    </row>
    <row r="1144" spans="13:22" s="1" customFormat="1">
      <c r="M1144"/>
      <c r="N1144"/>
      <c r="O1144"/>
      <c r="P1144"/>
      <c r="Q1144"/>
      <c r="R1144"/>
      <c r="S1144"/>
      <c r="T1144"/>
      <c r="U1144"/>
      <c r="V1144"/>
    </row>
    <row r="1145" spans="13:22" s="1" customFormat="1">
      <c r="M1145"/>
      <c r="N1145"/>
      <c r="O1145"/>
      <c r="P1145"/>
      <c r="Q1145"/>
      <c r="R1145"/>
      <c r="S1145"/>
      <c r="T1145"/>
      <c r="U1145"/>
      <c r="V1145"/>
    </row>
    <row r="1146" spans="13:22" s="1" customFormat="1">
      <c r="M1146"/>
      <c r="N1146"/>
      <c r="O1146"/>
      <c r="P1146"/>
      <c r="Q1146"/>
      <c r="R1146"/>
      <c r="S1146"/>
      <c r="T1146"/>
      <c r="U1146"/>
      <c r="V1146"/>
    </row>
    <row r="1147" spans="13:22" s="1" customFormat="1">
      <c r="M1147"/>
      <c r="N1147"/>
      <c r="O1147"/>
      <c r="P1147"/>
      <c r="Q1147"/>
      <c r="R1147"/>
      <c r="S1147"/>
      <c r="T1147"/>
      <c r="U1147"/>
      <c r="V1147"/>
    </row>
    <row r="1148" spans="13:22" s="1" customFormat="1">
      <c r="M1148"/>
      <c r="N1148"/>
      <c r="O1148"/>
      <c r="P1148"/>
      <c r="Q1148"/>
      <c r="R1148"/>
      <c r="S1148"/>
      <c r="T1148"/>
      <c r="U1148"/>
      <c r="V1148"/>
    </row>
    <row r="1149" spans="13:22" s="1" customFormat="1">
      <c r="M1149"/>
      <c r="N1149"/>
      <c r="O1149"/>
      <c r="P1149"/>
      <c r="Q1149"/>
      <c r="R1149"/>
      <c r="S1149"/>
      <c r="T1149"/>
      <c r="U1149"/>
      <c r="V1149"/>
    </row>
    <row r="1150" spans="13:22" s="1" customFormat="1">
      <c r="M1150"/>
      <c r="N1150"/>
      <c r="O1150"/>
      <c r="P1150"/>
      <c r="Q1150"/>
      <c r="R1150"/>
      <c r="S1150"/>
      <c r="T1150"/>
      <c r="U1150"/>
      <c r="V1150"/>
    </row>
    <row r="1151" spans="13:22" s="1" customFormat="1">
      <c r="M1151"/>
      <c r="N1151"/>
      <c r="O1151"/>
      <c r="P1151"/>
      <c r="Q1151"/>
      <c r="R1151"/>
      <c r="S1151"/>
      <c r="T1151"/>
      <c r="U1151"/>
      <c r="V1151"/>
    </row>
    <row r="1152" spans="13:22" s="1" customFormat="1">
      <c r="M1152"/>
      <c r="N1152"/>
      <c r="O1152"/>
      <c r="P1152"/>
      <c r="Q1152"/>
      <c r="R1152"/>
      <c r="S1152"/>
      <c r="T1152"/>
      <c r="U1152"/>
      <c r="V1152"/>
    </row>
    <row r="1153" spans="13:22" s="1" customFormat="1">
      <c r="M1153"/>
      <c r="N1153"/>
      <c r="O1153"/>
      <c r="P1153"/>
      <c r="Q1153"/>
      <c r="R1153"/>
      <c r="S1153"/>
      <c r="T1153"/>
      <c r="U1153"/>
      <c r="V1153"/>
    </row>
    <row r="1154" spans="13:22" s="1" customFormat="1">
      <c r="M1154"/>
      <c r="N1154"/>
      <c r="O1154"/>
      <c r="P1154"/>
      <c r="Q1154"/>
      <c r="R1154"/>
      <c r="S1154"/>
      <c r="T1154"/>
      <c r="U1154"/>
      <c r="V1154"/>
    </row>
    <row r="1155" spans="13:22" s="1" customFormat="1">
      <c r="M1155"/>
      <c r="N1155"/>
      <c r="O1155"/>
      <c r="P1155"/>
      <c r="Q1155"/>
      <c r="R1155"/>
      <c r="S1155"/>
      <c r="T1155"/>
      <c r="U1155"/>
      <c r="V1155"/>
    </row>
    <row r="1156" spans="13:22" s="1" customFormat="1">
      <c r="M1156"/>
      <c r="N1156"/>
      <c r="O1156"/>
      <c r="P1156"/>
      <c r="Q1156"/>
      <c r="R1156"/>
      <c r="S1156"/>
      <c r="T1156"/>
      <c r="U1156"/>
      <c r="V1156"/>
    </row>
    <row r="1157" spans="13:22" s="1" customFormat="1">
      <c r="M1157"/>
      <c r="N1157"/>
      <c r="O1157"/>
      <c r="P1157"/>
      <c r="Q1157"/>
      <c r="R1157"/>
      <c r="S1157"/>
      <c r="T1157"/>
      <c r="U1157"/>
      <c r="V1157"/>
    </row>
    <row r="1158" spans="13:22" s="1" customFormat="1">
      <c r="M1158"/>
      <c r="N1158"/>
      <c r="O1158"/>
      <c r="P1158"/>
      <c r="Q1158"/>
      <c r="R1158"/>
      <c r="S1158"/>
      <c r="T1158"/>
      <c r="U1158"/>
      <c r="V1158"/>
    </row>
    <row r="1159" spans="13:22" s="1" customFormat="1">
      <c r="M1159"/>
      <c r="N1159"/>
      <c r="O1159"/>
      <c r="P1159"/>
      <c r="Q1159"/>
      <c r="R1159"/>
      <c r="S1159"/>
      <c r="T1159"/>
      <c r="U1159"/>
      <c r="V1159"/>
    </row>
    <row r="1160" spans="13:22" s="1" customFormat="1">
      <c r="M1160"/>
      <c r="N1160"/>
      <c r="O1160"/>
      <c r="P1160"/>
      <c r="Q1160"/>
      <c r="R1160"/>
      <c r="S1160"/>
      <c r="T1160"/>
      <c r="U1160"/>
      <c r="V1160"/>
    </row>
    <row r="1161" spans="13:22" s="1" customFormat="1">
      <c r="M1161"/>
      <c r="N1161"/>
      <c r="O1161"/>
      <c r="P1161"/>
      <c r="Q1161"/>
      <c r="R1161"/>
      <c r="S1161"/>
      <c r="T1161"/>
      <c r="U1161"/>
      <c r="V1161"/>
    </row>
    <row r="1162" spans="13:22" s="1" customFormat="1">
      <c r="M1162"/>
      <c r="N1162"/>
      <c r="O1162"/>
      <c r="P1162"/>
      <c r="Q1162"/>
      <c r="R1162"/>
      <c r="S1162"/>
      <c r="T1162"/>
      <c r="U1162"/>
      <c r="V1162"/>
    </row>
    <row r="1163" spans="13:22" s="1" customFormat="1">
      <c r="M1163"/>
      <c r="N1163"/>
      <c r="O1163"/>
      <c r="P1163"/>
      <c r="Q1163"/>
      <c r="R1163"/>
      <c r="S1163"/>
      <c r="T1163"/>
      <c r="U1163"/>
      <c r="V1163"/>
    </row>
    <row r="1164" spans="13:22" s="1" customFormat="1">
      <c r="M1164"/>
      <c r="N1164"/>
      <c r="O1164"/>
      <c r="P1164"/>
      <c r="Q1164"/>
      <c r="R1164"/>
      <c r="S1164"/>
      <c r="T1164"/>
      <c r="U1164"/>
      <c r="V1164"/>
    </row>
    <row r="1165" spans="13:22" s="1" customFormat="1">
      <c r="M1165"/>
      <c r="N1165"/>
      <c r="O1165"/>
      <c r="P1165"/>
      <c r="Q1165"/>
      <c r="R1165"/>
      <c r="S1165"/>
      <c r="T1165"/>
      <c r="U1165"/>
      <c r="V1165"/>
    </row>
    <row r="1166" spans="13:22" s="1" customFormat="1">
      <c r="M1166"/>
      <c r="N1166"/>
      <c r="O1166"/>
      <c r="P1166"/>
      <c r="Q1166"/>
      <c r="R1166"/>
      <c r="S1166"/>
      <c r="T1166"/>
      <c r="U1166"/>
      <c r="V1166"/>
    </row>
    <row r="1167" spans="13:22" s="1" customFormat="1">
      <c r="M1167"/>
      <c r="N1167"/>
      <c r="O1167"/>
      <c r="P1167"/>
      <c r="Q1167"/>
      <c r="R1167"/>
      <c r="S1167"/>
      <c r="T1167"/>
      <c r="U1167"/>
      <c r="V1167"/>
    </row>
    <row r="1168" spans="13:22" s="1" customFormat="1">
      <c r="M1168"/>
      <c r="N1168"/>
      <c r="O1168"/>
      <c r="P1168"/>
      <c r="Q1168"/>
      <c r="R1168"/>
      <c r="S1168"/>
      <c r="T1168"/>
      <c r="U1168"/>
      <c r="V1168"/>
    </row>
    <row r="1169" spans="13:22" s="1" customFormat="1">
      <c r="M1169"/>
      <c r="N1169"/>
      <c r="O1169"/>
      <c r="P1169"/>
      <c r="Q1169"/>
      <c r="R1169"/>
      <c r="S1169"/>
      <c r="T1169"/>
      <c r="U1169"/>
      <c r="V1169"/>
    </row>
    <row r="1170" spans="13:22" s="1" customFormat="1">
      <c r="M1170"/>
      <c r="N1170"/>
      <c r="O1170"/>
      <c r="P1170"/>
      <c r="Q1170"/>
      <c r="R1170"/>
      <c r="S1170"/>
      <c r="T1170"/>
      <c r="U1170"/>
      <c r="V1170"/>
    </row>
    <row r="1171" spans="13:22" s="1" customFormat="1">
      <c r="M1171"/>
      <c r="N1171"/>
      <c r="O1171"/>
      <c r="P1171"/>
      <c r="Q1171"/>
      <c r="R1171"/>
      <c r="S1171"/>
      <c r="T1171"/>
      <c r="U1171"/>
      <c r="V1171"/>
    </row>
    <row r="1172" spans="13:22" s="1" customFormat="1">
      <c r="M1172"/>
      <c r="N1172"/>
      <c r="O1172"/>
      <c r="P1172"/>
      <c r="Q1172"/>
      <c r="R1172"/>
      <c r="S1172"/>
      <c r="T1172"/>
      <c r="U1172"/>
      <c r="V1172"/>
    </row>
    <row r="1173" spans="13:22" s="1" customFormat="1">
      <c r="M1173"/>
      <c r="N1173"/>
      <c r="O1173"/>
      <c r="P1173"/>
      <c r="Q1173"/>
      <c r="R1173"/>
      <c r="S1173"/>
      <c r="T1173"/>
      <c r="U1173"/>
      <c r="V1173"/>
    </row>
    <row r="1174" spans="13:22" s="1" customFormat="1">
      <c r="M1174"/>
      <c r="N1174"/>
      <c r="O1174"/>
      <c r="P1174"/>
      <c r="Q1174"/>
      <c r="R1174"/>
      <c r="S1174"/>
      <c r="T1174"/>
      <c r="U1174"/>
      <c r="V1174"/>
    </row>
    <row r="1175" spans="13:22" s="1" customFormat="1">
      <c r="M1175"/>
      <c r="N1175"/>
      <c r="O1175"/>
      <c r="P1175"/>
      <c r="Q1175"/>
      <c r="R1175"/>
      <c r="S1175"/>
      <c r="T1175"/>
      <c r="U1175"/>
      <c r="V1175"/>
    </row>
    <row r="1176" spans="13:22" s="1" customFormat="1">
      <c r="M1176"/>
      <c r="N1176"/>
      <c r="O1176"/>
      <c r="P1176"/>
      <c r="Q1176"/>
      <c r="R1176"/>
      <c r="S1176"/>
      <c r="T1176"/>
      <c r="U1176"/>
      <c r="V1176"/>
    </row>
    <row r="1177" spans="13:22" s="1" customFormat="1">
      <c r="M1177"/>
      <c r="N1177"/>
      <c r="O1177"/>
      <c r="P1177"/>
      <c r="Q1177"/>
      <c r="R1177"/>
      <c r="S1177"/>
      <c r="T1177"/>
      <c r="U1177"/>
      <c r="V1177"/>
    </row>
    <row r="1178" spans="13:22" s="1" customFormat="1">
      <c r="M1178"/>
      <c r="N1178"/>
      <c r="O1178"/>
      <c r="P1178"/>
      <c r="Q1178"/>
      <c r="R1178"/>
      <c r="S1178"/>
      <c r="T1178"/>
      <c r="U1178"/>
      <c r="V1178"/>
    </row>
    <row r="1179" spans="13:22" s="1" customFormat="1">
      <c r="M1179"/>
      <c r="N1179"/>
      <c r="O1179"/>
      <c r="P1179"/>
      <c r="Q1179"/>
      <c r="R1179"/>
      <c r="S1179"/>
      <c r="T1179"/>
      <c r="U1179"/>
      <c r="V1179"/>
    </row>
    <row r="1180" spans="13:22" s="1" customFormat="1">
      <c r="M1180"/>
      <c r="N1180"/>
      <c r="O1180"/>
      <c r="P1180"/>
      <c r="Q1180"/>
      <c r="R1180"/>
      <c r="S1180"/>
      <c r="T1180"/>
      <c r="U1180"/>
      <c r="V1180"/>
    </row>
    <row r="1181" spans="13:22" s="1" customFormat="1">
      <c r="M1181"/>
      <c r="N1181"/>
      <c r="O1181"/>
      <c r="P1181"/>
      <c r="Q1181"/>
      <c r="R1181"/>
      <c r="S1181"/>
      <c r="T1181"/>
      <c r="U1181"/>
      <c r="V1181"/>
    </row>
    <row r="1182" spans="13:22" s="1" customFormat="1">
      <c r="M1182"/>
      <c r="N1182"/>
      <c r="O1182"/>
      <c r="P1182"/>
      <c r="Q1182"/>
      <c r="R1182"/>
      <c r="S1182"/>
      <c r="T1182"/>
      <c r="U1182"/>
      <c r="V1182"/>
    </row>
    <row r="1183" spans="13:22" s="1" customFormat="1">
      <c r="M1183"/>
      <c r="N1183"/>
      <c r="O1183"/>
      <c r="P1183"/>
      <c r="Q1183"/>
      <c r="R1183"/>
      <c r="S1183"/>
      <c r="T1183"/>
      <c r="U1183"/>
      <c r="V1183"/>
    </row>
    <row r="1184" spans="13:22" s="1" customFormat="1">
      <c r="M1184"/>
      <c r="N1184"/>
      <c r="O1184"/>
      <c r="P1184"/>
      <c r="Q1184"/>
      <c r="R1184"/>
      <c r="S1184"/>
      <c r="T1184"/>
      <c r="U1184"/>
      <c r="V1184"/>
    </row>
    <row r="1185" spans="13:22" s="1" customFormat="1">
      <c r="M1185"/>
      <c r="N1185"/>
      <c r="O1185"/>
      <c r="P1185"/>
      <c r="Q1185"/>
      <c r="R1185"/>
      <c r="S1185"/>
      <c r="T1185"/>
      <c r="U1185"/>
      <c r="V1185"/>
    </row>
    <row r="1186" spans="13:22" s="1" customFormat="1">
      <c r="M1186"/>
      <c r="N1186"/>
      <c r="O1186"/>
      <c r="P1186"/>
      <c r="Q1186"/>
      <c r="R1186"/>
      <c r="S1186"/>
      <c r="T1186"/>
      <c r="U1186"/>
      <c r="V1186"/>
    </row>
    <row r="1187" spans="13:22" s="1" customFormat="1">
      <c r="M1187"/>
      <c r="N1187"/>
      <c r="O1187"/>
      <c r="P1187"/>
      <c r="Q1187"/>
      <c r="R1187"/>
      <c r="S1187"/>
      <c r="T1187"/>
      <c r="U1187"/>
      <c r="V1187"/>
    </row>
    <row r="1188" spans="13:22" s="1" customFormat="1">
      <c r="M1188"/>
      <c r="N1188"/>
      <c r="O1188"/>
      <c r="P1188"/>
      <c r="Q1188"/>
      <c r="R1188"/>
      <c r="S1188"/>
      <c r="T1188"/>
      <c r="U1188"/>
      <c r="V1188"/>
    </row>
    <row r="1189" spans="13:22" s="1" customFormat="1">
      <c r="M1189"/>
      <c r="N1189"/>
      <c r="O1189"/>
      <c r="P1189"/>
      <c r="Q1189"/>
      <c r="R1189"/>
      <c r="S1189"/>
      <c r="T1189"/>
      <c r="U1189"/>
      <c r="V1189"/>
    </row>
    <row r="1190" spans="13:22" s="1" customFormat="1">
      <c r="M1190"/>
      <c r="N1190"/>
      <c r="O1190"/>
      <c r="P1190"/>
      <c r="Q1190"/>
      <c r="R1190"/>
      <c r="S1190"/>
      <c r="T1190"/>
      <c r="U1190"/>
      <c r="V1190"/>
    </row>
    <row r="1191" spans="13:22" s="1" customFormat="1">
      <c r="M1191"/>
      <c r="N1191"/>
      <c r="O1191"/>
      <c r="P1191"/>
      <c r="Q1191"/>
      <c r="R1191"/>
      <c r="S1191"/>
      <c r="T1191"/>
      <c r="U1191"/>
      <c r="V1191"/>
    </row>
    <row r="1192" spans="13:22" s="1" customFormat="1">
      <c r="M1192"/>
      <c r="N1192"/>
      <c r="O1192"/>
      <c r="P1192"/>
      <c r="Q1192"/>
      <c r="R1192"/>
      <c r="S1192"/>
      <c r="T1192"/>
      <c r="U1192"/>
      <c r="V1192"/>
    </row>
    <row r="1193" spans="13:22" s="1" customFormat="1">
      <c r="M1193"/>
      <c r="N1193"/>
      <c r="O1193"/>
      <c r="P1193"/>
      <c r="Q1193"/>
      <c r="R1193"/>
      <c r="S1193"/>
      <c r="T1193"/>
      <c r="U1193"/>
      <c r="V1193"/>
    </row>
    <row r="1194" spans="13:22" s="1" customFormat="1">
      <c r="M1194"/>
      <c r="N1194"/>
      <c r="O1194"/>
      <c r="P1194"/>
      <c r="Q1194"/>
      <c r="R1194"/>
      <c r="S1194"/>
      <c r="T1194"/>
      <c r="U1194"/>
      <c r="V1194"/>
    </row>
    <row r="1195" spans="13:22" s="1" customFormat="1">
      <c r="M1195"/>
      <c r="N1195"/>
      <c r="O1195"/>
      <c r="P1195"/>
      <c r="Q1195"/>
      <c r="R1195"/>
      <c r="S1195"/>
      <c r="T1195"/>
      <c r="U1195"/>
      <c r="V1195"/>
    </row>
    <row r="1196" spans="13:22" s="1" customFormat="1">
      <c r="M1196"/>
      <c r="N1196"/>
      <c r="O1196"/>
      <c r="P1196"/>
      <c r="Q1196"/>
      <c r="R1196"/>
      <c r="S1196"/>
      <c r="T1196"/>
      <c r="U1196"/>
      <c r="V1196"/>
    </row>
    <row r="1197" spans="13:22" s="1" customFormat="1">
      <c r="M1197"/>
      <c r="N1197"/>
      <c r="O1197"/>
      <c r="P1197"/>
      <c r="Q1197"/>
      <c r="R1197"/>
      <c r="S1197"/>
      <c r="T1197"/>
      <c r="U1197"/>
      <c r="V1197"/>
    </row>
    <row r="1198" spans="13:22" s="1" customFormat="1">
      <c r="M1198"/>
      <c r="N1198"/>
      <c r="O1198"/>
      <c r="P1198"/>
      <c r="Q1198"/>
      <c r="R1198"/>
      <c r="S1198"/>
      <c r="T1198"/>
      <c r="U1198"/>
      <c r="V1198"/>
    </row>
    <row r="1199" spans="13:22" s="1" customFormat="1">
      <c r="M1199"/>
      <c r="N1199"/>
      <c r="O1199"/>
      <c r="P1199"/>
      <c r="Q1199"/>
      <c r="R1199"/>
      <c r="S1199"/>
      <c r="T1199"/>
      <c r="U1199"/>
      <c r="V1199"/>
    </row>
    <row r="1200" spans="13:22" s="1" customFormat="1">
      <c r="M1200"/>
      <c r="N1200"/>
      <c r="O1200"/>
      <c r="P1200"/>
      <c r="Q1200"/>
      <c r="R1200"/>
      <c r="S1200"/>
      <c r="T1200"/>
      <c r="U1200"/>
      <c r="V1200"/>
    </row>
    <row r="1201" spans="13:22" s="1" customFormat="1">
      <c r="M1201"/>
      <c r="N1201"/>
      <c r="O1201"/>
      <c r="P1201"/>
      <c r="Q1201"/>
      <c r="R1201"/>
      <c r="S1201"/>
      <c r="T1201"/>
      <c r="U1201"/>
      <c r="V1201"/>
    </row>
    <row r="1202" spans="13:22" s="1" customFormat="1">
      <c r="M1202"/>
      <c r="N1202"/>
      <c r="O1202"/>
      <c r="P1202"/>
      <c r="Q1202"/>
      <c r="R1202"/>
      <c r="S1202"/>
      <c r="T1202"/>
      <c r="U1202"/>
      <c r="V1202"/>
    </row>
    <row r="1203" spans="13:22" s="1" customFormat="1">
      <c r="M1203"/>
      <c r="N1203"/>
      <c r="O1203"/>
      <c r="P1203"/>
      <c r="Q1203"/>
      <c r="R1203"/>
      <c r="S1203"/>
      <c r="T1203"/>
      <c r="U1203"/>
      <c r="V1203"/>
    </row>
    <row r="1204" spans="13:22" s="1" customFormat="1">
      <c r="M1204"/>
      <c r="N1204"/>
      <c r="O1204"/>
      <c r="P1204"/>
      <c r="Q1204"/>
      <c r="R1204"/>
      <c r="S1204"/>
      <c r="T1204"/>
      <c r="U1204"/>
      <c r="V1204"/>
    </row>
    <row r="1205" spans="13:22" s="1" customFormat="1">
      <c r="M1205"/>
      <c r="N1205"/>
      <c r="O1205"/>
      <c r="P1205"/>
      <c r="Q1205"/>
      <c r="R1205"/>
      <c r="S1205"/>
      <c r="T1205"/>
      <c r="U1205"/>
      <c r="V1205"/>
    </row>
    <row r="1206" spans="13:22" s="1" customFormat="1">
      <c r="M1206"/>
      <c r="N1206"/>
      <c r="O1206"/>
      <c r="P1206"/>
      <c r="Q1206"/>
      <c r="R1206"/>
      <c r="S1206"/>
      <c r="T1206"/>
      <c r="U1206"/>
      <c r="V1206"/>
    </row>
    <row r="1207" spans="13:22" s="1" customFormat="1">
      <c r="M1207"/>
      <c r="N1207"/>
      <c r="O1207"/>
      <c r="P1207"/>
      <c r="Q1207"/>
      <c r="R1207"/>
      <c r="S1207"/>
      <c r="T1207"/>
      <c r="U1207"/>
      <c r="V1207"/>
    </row>
    <row r="1208" spans="13:22" s="1" customFormat="1">
      <c r="M1208"/>
      <c r="N1208"/>
      <c r="O1208"/>
      <c r="P1208"/>
      <c r="Q1208"/>
      <c r="R1208"/>
      <c r="S1208"/>
      <c r="T1208"/>
      <c r="U1208"/>
      <c r="V1208"/>
    </row>
    <row r="1209" spans="13:22" s="1" customFormat="1">
      <c r="M1209"/>
      <c r="N1209"/>
      <c r="O1209"/>
      <c r="P1209"/>
      <c r="Q1209"/>
      <c r="R1209"/>
      <c r="S1209"/>
      <c r="T1209"/>
      <c r="U1209"/>
      <c r="V1209"/>
    </row>
    <row r="1210" spans="13:22" s="1" customFormat="1">
      <c r="M1210"/>
      <c r="N1210"/>
      <c r="O1210"/>
      <c r="P1210"/>
      <c r="Q1210"/>
      <c r="R1210"/>
      <c r="S1210"/>
      <c r="T1210"/>
      <c r="U1210"/>
      <c r="V1210"/>
    </row>
    <row r="1211" spans="13:22" s="1" customFormat="1">
      <c r="M1211"/>
      <c r="N1211"/>
      <c r="O1211"/>
      <c r="P1211"/>
      <c r="Q1211"/>
      <c r="R1211"/>
      <c r="S1211"/>
      <c r="T1211"/>
      <c r="U1211"/>
      <c r="V1211"/>
    </row>
    <row r="1212" spans="13:22" s="1" customFormat="1">
      <c r="M1212"/>
      <c r="N1212"/>
      <c r="O1212"/>
      <c r="P1212"/>
      <c r="Q1212"/>
      <c r="R1212"/>
      <c r="S1212"/>
      <c r="T1212"/>
      <c r="U1212"/>
      <c r="V1212"/>
    </row>
    <row r="1213" spans="13:22" s="1" customFormat="1">
      <c r="M1213"/>
      <c r="N1213"/>
      <c r="O1213"/>
      <c r="P1213"/>
      <c r="Q1213"/>
      <c r="R1213"/>
      <c r="S1213"/>
      <c r="T1213"/>
      <c r="U1213"/>
      <c r="V1213"/>
    </row>
    <row r="1214" spans="13:22" s="1" customFormat="1">
      <c r="M1214"/>
      <c r="N1214"/>
      <c r="O1214"/>
      <c r="P1214"/>
      <c r="Q1214"/>
      <c r="R1214"/>
      <c r="S1214"/>
      <c r="T1214"/>
      <c r="U1214"/>
      <c r="V1214"/>
    </row>
    <row r="1215" spans="13:22" s="1" customFormat="1">
      <c r="M1215"/>
      <c r="N1215"/>
      <c r="O1215"/>
      <c r="P1215"/>
      <c r="Q1215"/>
      <c r="R1215"/>
      <c r="S1215"/>
      <c r="T1215"/>
      <c r="U1215"/>
      <c r="V1215"/>
    </row>
    <row r="1216" spans="13:22" s="1" customFormat="1">
      <c r="M1216"/>
      <c r="N1216"/>
      <c r="O1216"/>
      <c r="P1216"/>
      <c r="Q1216"/>
      <c r="R1216"/>
      <c r="S1216"/>
      <c r="T1216"/>
      <c r="U1216"/>
      <c r="V1216"/>
    </row>
  </sheetData>
  <mergeCells count="4">
    <mergeCell ref="E6:G6"/>
    <mergeCell ref="E13:G13"/>
    <mergeCell ref="E23:G23"/>
    <mergeCell ref="E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208"/>
  <sheetViews>
    <sheetView topLeftCell="A16" zoomScale="156" zoomScaleNormal="80" workbookViewId="0">
      <selection activeCell="F16" sqref="F16"/>
    </sheetView>
  </sheetViews>
  <sheetFormatPr defaultRowHeight="14.5"/>
  <cols>
    <col min="1" max="1" width="4" style="1" customWidth="1"/>
    <col min="2" max="2" width="3.453125" style="1" customWidth="1"/>
    <col min="3" max="3" width="3.6328125" customWidth="1"/>
    <col min="4" max="4" width="2.81640625" customWidth="1"/>
    <col min="5" max="5" width="3.08984375" customWidth="1"/>
    <col min="6" max="6" width="37.90625" customWidth="1"/>
    <col min="7" max="7" width="9.90625" customWidth="1"/>
    <col min="8" max="8" width="10" customWidth="1"/>
    <col min="9" max="9" width="3.36328125" style="1" customWidth="1"/>
    <col min="10" max="10" width="3.453125" customWidth="1"/>
    <col min="11" max="11" width="4.54296875" customWidth="1"/>
    <col min="12" max="12" width="8.08984375" customWidth="1"/>
    <col min="13" max="13" width="12.6328125" customWidth="1"/>
    <col min="14" max="15" width="4" customWidth="1"/>
    <col min="21" max="21" width="27.81640625" customWidth="1"/>
    <col min="22" max="62" width="8.90625" style="1"/>
  </cols>
  <sheetData>
    <row r="1" spans="2:21" s="1" customFormat="1"/>
    <row r="2" spans="2:21" s="1" customFormat="1"/>
    <row r="3" spans="2:21" s="1" customFormat="1"/>
    <row r="4" spans="2:21" s="1" customFormat="1" ht="15" thickBot="1"/>
    <row r="5" spans="2:21">
      <c r="B5" s="41"/>
      <c r="C5" s="43"/>
      <c r="D5" s="42"/>
      <c r="E5" s="43"/>
      <c r="F5" s="43"/>
      <c r="G5" s="43"/>
      <c r="H5" s="43"/>
      <c r="I5" s="44"/>
      <c r="J5" s="1"/>
      <c r="K5" s="1"/>
      <c r="L5" s="27"/>
      <c r="M5" s="15"/>
      <c r="N5" s="15"/>
      <c r="O5" s="15"/>
      <c r="P5" s="15"/>
      <c r="Q5" s="15"/>
      <c r="R5" s="15"/>
      <c r="S5" s="15"/>
      <c r="T5" s="15"/>
      <c r="U5" s="16"/>
    </row>
    <row r="6" spans="2:21">
      <c r="B6" s="45"/>
      <c r="C6" s="46"/>
      <c r="D6" s="46"/>
      <c r="E6" s="119" t="s">
        <v>39</v>
      </c>
      <c r="F6" s="119"/>
      <c r="G6" s="119"/>
      <c r="H6" s="46"/>
      <c r="I6" s="49"/>
      <c r="J6" s="14"/>
      <c r="K6" s="1"/>
      <c r="L6" s="17" t="s">
        <v>24</v>
      </c>
      <c r="M6" s="9"/>
      <c r="N6" s="10"/>
      <c r="O6" s="10"/>
      <c r="P6" s="10"/>
      <c r="Q6" s="10"/>
      <c r="R6" s="10"/>
      <c r="S6" s="10"/>
      <c r="T6" s="11"/>
      <c r="U6" s="18"/>
    </row>
    <row r="7" spans="2:21">
      <c r="B7" s="45"/>
      <c r="C7" s="46"/>
      <c r="D7" s="46"/>
      <c r="E7" s="119" t="s">
        <v>40</v>
      </c>
      <c r="F7" s="119"/>
      <c r="G7" s="119"/>
      <c r="H7" s="46"/>
      <c r="I7" s="50"/>
      <c r="J7" s="14"/>
      <c r="K7" s="1"/>
      <c r="L7" s="17" t="s">
        <v>33</v>
      </c>
      <c r="M7" s="9"/>
      <c r="N7" s="10"/>
      <c r="O7" s="10"/>
      <c r="P7" s="10"/>
      <c r="Q7" s="10"/>
      <c r="R7" s="10"/>
      <c r="S7" s="10"/>
      <c r="T7" s="19"/>
      <c r="U7" s="20"/>
    </row>
    <row r="8" spans="2:21" ht="15" thickBot="1">
      <c r="B8" s="45"/>
      <c r="C8" s="46"/>
      <c r="D8" s="48"/>
      <c r="E8" s="118"/>
      <c r="F8" s="118"/>
      <c r="G8" s="48"/>
      <c r="H8" s="46"/>
      <c r="I8" s="50"/>
      <c r="J8" s="14"/>
      <c r="K8" s="1"/>
      <c r="L8" s="17" t="s">
        <v>34</v>
      </c>
      <c r="M8" s="9"/>
      <c r="N8" s="10"/>
      <c r="O8" s="10"/>
      <c r="P8" s="10"/>
      <c r="Q8" s="10"/>
      <c r="R8" s="10"/>
      <c r="S8" s="10"/>
      <c r="T8" s="19"/>
      <c r="U8" s="20"/>
    </row>
    <row r="9" spans="2:21">
      <c r="B9" s="45"/>
      <c r="C9" s="57"/>
      <c r="D9" s="28"/>
      <c r="E9" s="28"/>
      <c r="F9" s="28"/>
      <c r="G9" s="28"/>
      <c r="H9" s="58"/>
      <c r="I9" s="50"/>
      <c r="J9" s="14"/>
      <c r="K9" s="36"/>
      <c r="L9" s="29"/>
      <c r="M9" s="9"/>
      <c r="N9" s="10"/>
      <c r="O9" s="10"/>
      <c r="P9" s="10"/>
      <c r="Q9" s="10"/>
      <c r="R9" s="10"/>
      <c r="S9" s="10"/>
      <c r="T9" s="19"/>
      <c r="U9" s="20"/>
    </row>
    <row r="10" spans="2:21">
      <c r="B10" s="45"/>
      <c r="C10" s="17" t="s">
        <v>41</v>
      </c>
      <c r="D10" s="22"/>
      <c r="E10" s="22"/>
      <c r="F10" s="22"/>
      <c r="G10" s="22"/>
      <c r="H10" s="59"/>
      <c r="I10" s="50"/>
      <c r="J10" s="14"/>
      <c r="K10" s="37"/>
      <c r="L10" s="69">
        <v>36892</v>
      </c>
      <c r="M10" s="22" t="s">
        <v>28</v>
      </c>
      <c r="N10" s="10"/>
      <c r="O10" s="10"/>
      <c r="P10" s="10"/>
      <c r="Q10" s="10"/>
      <c r="R10" s="10"/>
      <c r="S10" s="10"/>
      <c r="T10" s="19"/>
      <c r="U10" s="20"/>
    </row>
    <row r="11" spans="2:21">
      <c r="B11" s="45"/>
      <c r="C11" s="17"/>
      <c r="D11" s="22" t="s">
        <v>42</v>
      </c>
      <c r="E11" s="22"/>
      <c r="F11" s="22"/>
      <c r="G11" s="22"/>
      <c r="H11" s="35"/>
      <c r="I11" s="50"/>
      <c r="J11" s="14"/>
      <c r="K11" s="38"/>
      <c r="L11" s="84">
        <v>36951</v>
      </c>
      <c r="M11" s="22" t="s">
        <v>29</v>
      </c>
      <c r="N11" s="10"/>
      <c r="O11" s="10"/>
      <c r="P11" s="10"/>
      <c r="Q11" s="10"/>
      <c r="R11" s="10"/>
      <c r="S11" s="10"/>
      <c r="T11" s="19"/>
      <c r="U11" s="20"/>
    </row>
    <row r="12" spans="2:21">
      <c r="B12" s="45"/>
      <c r="C12" s="17"/>
      <c r="D12" s="22"/>
      <c r="E12" s="60" t="s">
        <v>43</v>
      </c>
      <c r="F12" s="60"/>
      <c r="G12" s="22"/>
      <c r="H12" s="35"/>
      <c r="I12" s="51"/>
      <c r="J12" s="14"/>
      <c r="K12" s="38"/>
      <c r="L12" s="84">
        <v>36982</v>
      </c>
      <c r="M12" s="22" t="s">
        <v>36</v>
      </c>
      <c r="N12" s="10"/>
      <c r="O12" s="10"/>
      <c r="P12" s="10"/>
      <c r="Q12" s="10"/>
      <c r="R12" s="10"/>
      <c r="S12" s="10"/>
      <c r="T12" s="11"/>
      <c r="U12" s="18"/>
    </row>
    <row r="13" spans="2:21">
      <c r="B13" s="45"/>
      <c r="C13" s="17"/>
      <c r="D13" s="22"/>
      <c r="E13" s="22"/>
      <c r="F13" s="116" t="s">
        <v>44</v>
      </c>
      <c r="G13" s="22"/>
      <c r="H13" s="35"/>
      <c r="I13" s="50"/>
      <c r="J13" s="14"/>
      <c r="K13" s="38"/>
      <c r="L13" s="67"/>
      <c r="M13" s="22" t="s">
        <v>35</v>
      </c>
      <c r="N13" s="10"/>
      <c r="O13" s="10"/>
      <c r="P13" s="10"/>
      <c r="Q13" s="10"/>
      <c r="R13" s="10"/>
      <c r="S13" s="10"/>
      <c r="T13" s="11"/>
      <c r="U13" s="18"/>
    </row>
    <row r="14" spans="2:21">
      <c r="B14" s="45"/>
      <c r="C14" s="17"/>
      <c r="D14" s="22"/>
      <c r="E14" s="22"/>
      <c r="F14" s="116"/>
      <c r="G14" s="22"/>
      <c r="H14" s="35"/>
      <c r="I14" s="52"/>
      <c r="J14" s="14"/>
      <c r="K14" s="38"/>
      <c r="L14" s="84">
        <v>37012</v>
      </c>
      <c r="M14" s="22" t="s">
        <v>30</v>
      </c>
      <c r="N14" s="10"/>
      <c r="O14" s="10"/>
      <c r="P14" s="10"/>
      <c r="Q14" s="10"/>
      <c r="R14" s="10"/>
      <c r="S14" s="10"/>
      <c r="T14" s="11"/>
      <c r="U14" s="18"/>
    </row>
    <row r="15" spans="2:21">
      <c r="B15" s="45"/>
      <c r="C15" s="17"/>
      <c r="D15" s="22"/>
      <c r="E15" s="22"/>
      <c r="F15" s="116"/>
      <c r="G15" s="22"/>
      <c r="H15" s="35">
        <v>600000</v>
      </c>
      <c r="I15" s="52"/>
      <c r="J15" s="14"/>
      <c r="K15" s="38"/>
      <c r="L15" s="84">
        <v>37104</v>
      </c>
      <c r="M15" s="22" t="s">
        <v>38</v>
      </c>
      <c r="N15" s="10"/>
      <c r="O15" s="10"/>
      <c r="P15" s="10"/>
      <c r="Q15" s="10"/>
      <c r="R15" s="10"/>
      <c r="S15" s="10"/>
      <c r="T15" s="11"/>
      <c r="U15" s="18"/>
    </row>
    <row r="16" spans="2:21">
      <c r="B16" s="45"/>
      <c r="C16" s="17"/>
      <c r="D16" s="22"/>
      <c r="E16" s="22"/>
      <c r="F16" s="22"/>
      <c r="G16" s="22"/>
      <c r="H16" s="35"/>
      <c r="I16" s="52"/>
      <c r="J16" s="14"/>
      <c r="K16" s="38"/>
      <c r="L16" s="67"/>
      <c r="M16" s="22" t="s">
        <v>37</v>
      </c>
      <c r="N16" s="10"/>
      <c r="O16" s="10"/>
      <c r="P16" s="10"/>
      <c r="Q16" s="10"/>
      <c r="R16" s="10"/>
      <c r="S16" s="10"/>
      <c r="T16" s="11"/>
      <c r="U16" s="18"/>
    </row>
    <row r="17" spans="2:21">
      <c r="B17" s="45"/>
      <c r="C17" s="17"/>
      <c r="D17" s="22"/>
      <c r="E17" s="22"/>
      <c r="F17" s="117" t="s">
        <v>45</v>
      </c>
      <c r="G17" s="62"/>
      <c r="H17" s="35"/>
      <c r="I17" s="52"/>
      <c r="J17" s="14"/>
      <c r="K17" s="38"/>
      <c r="L17" s="84">
        <v>37135</v>
      </c>
      <c r="M17" s="22" t="s">
        <v>31</v>
      </c>
      <c r="N17" s="10"/>
      <c r="O17" s="10"/>
      <c r="P17" s="10"/>
      <c r="Q17" s="10"/>
      <c r="R17" s="10"/>
      <c r="S17" s="10"/>
      <c r="T17" s="11"/>
      <c r="U17" s="18"/>
    </row>
    <row r="18" spans="2:21">
      <c r="B18" s="45"/>
      <c r="C18" s="17"/>
      <c r="D18" s="22"/>
      <c r="E18" s="22"/>
      <c r="F18" s="117"/>
      <c r="G18" s="22"/>
      <c r="H18" s="35"/>
      <c r="I18" s="52"/>
      <c r="J18" s="14"/>
      <c r="K18" s="38"/>
      <c r="L18" s="84">
        <v>37165</v>
      </c>
      <c r="M18" s="22" t="s">
        <v>32</v>
      </c>
      <c r="N18" s="10"/>
      <c r="O18" s="10"/>
      <c r="P18" s="10"/>
      <c r="Q18" s="10"/>
      <c r="R18" s="10"/>
      <c r="S18" s="10"/>
      <c r="T18" s="11"/>
      <c r="U18" s="18"/>
    </row>
    <row r="19" spans="2:21">
      <c r="B19" s="45"/>
      <c r="C19" s="17"/>
      <c r="D19" s="22"/>
      <c r="E19" s="22"/>
      <c r="F19" s="117"/>
      <c r="G19" s="22"/>
      <c r="H19" s="61">
        <v>408000</v>
      </c>
      <c r="I19" s="52"/>
      <c r="J19" s="14"/>
      <c r="K19" s="38"/>
      <c r="L19" s="67"/>
      <c r="M19" s="22"/>
      <c r="N19" s="10"/>
      <c r="O19" s="10"/>
      <c r="P19" s="10"/>
      <c r="Q19" s="10"/>
      <c r="R19" s="10"/>
      <c r="S19" s="10"/>
      <c r="T19" s="11"/>
      <c r="U19" s="18"/>
    </row>
    <row r="20" spans="2:21">
      <c r="B20" s="45"/>
      <c r="C20" s="17"/>
      <c r="D20" s="22"/>
      <c r="E20" s="22"/>
      <c r="F20" s="22" t="s">
        <v>46</v>
      </c>
      <c r="G20" s="22"/>
      <c r="H20" s="35">
        <v>1008000</v>
      </c>
      <c r="I20" s="50"/>
      <c r="J20" s="14"/>
      <c r="K20" s="38"/>
      <c r="L20" s="67"/>
      <c r="M20" s="22"/>
      <c r="N20" s="10"/>
      <c r="O20" s="10"/>
      <c r="P20" s="10"/>
      <c r="Q20" s="10"/>
      <c r="R20" s="10"/>
      <c r="S20" s="10"/>
      <c r="T20" s="11"/>
      <c r="U20" s="18"/>
    </row>
    <row r="21" spans="2:21">
      <c r="B21" s="45"/>
      <c r="C21" s="17"/>
      <c r="D21" s="22"/>
      <c r="E21" s="22" t="s">
        <v>47</v>
      </c>
      <c r="F21" s="22"/>
      <c r="G21" s="22"/>
      <c r="H21" s="35"/>
      <c r="I21" s="52"/>
      <c r="J21" s="14"/>
      <c r="K21" s="38"/>
      <c r="L21" s="70" t="s">
        <v>6</v>
      </c>
      <c r="M21" s="22"/>
      <c r="N21" s="22"/>
      <c r="O21" s="22"/>
      <c r="P21" s="22"/>
      <c r="Q21" s="22"/>
      <c r="R21" s="22"/>
      <c r="S21" s="22"/>
      <c r="T21" s="22"/>
      <c r="U21" s="35"/>
    </row>
    <row r="22" spans="2:21">
      <c r="B22" s="45"/>
      <c r="C22" s="17"/>
      <c r="D22" s="22"/>
      <c r="E22" s="22"/>
      <c r="F22" s="22" t="s">
        <v>48</v>
      </c>
      <c r="G22" s="22">
        <v>34000</v>
      </c>
      <c r="H22" s="35"/>
      <c r="I22" s="52"/>
      <c r="J22" s="14"/>
      <c r="K22" s="38"/>
      <c r="L22" s="71" t="s">
        <v>7</v>
      </c>
      <c r="M22" s="22" t="s">
        <v>27</v>
      </c>
      <c r="N22" s="22"/>
      <c r="O22" s="22"/>
      <c r="P22" s="22"/>
      <c r="Q22" s="22"/>
      <c r="R22" s="22"/>
      <c r="S22" s="22"/>
      <c r="T22" s="22"/>
      <c r="U22" s="35"/>
    </row>
    <row r="23" spans="2:21">
      <c r="B23" s="45"/>
      <c r="C23" s="17"/>
      <c r="D23" s="22"/>
      <c r="E23" s="22"/>
      <c r="F23" s="22" t="s">
        <v>49</v>
      </c>
      <c r="G23" s="63">
        <v>437000</v>
      </c>
      <c r="H23" s="35"/>
      <c r="I23" s="52"/>
      <c r="J23" s="14"/>
      <c r="K23" s="39"/>
      <c r="L23" s="21" t="s">
        <v>22</v>
      </c>
      <c r="M23" s="22" t="s">
        <v>25</v>
      </c>
      <c r="N23" s="22"/>
      <c r="O23" s="22"/>
      <c r="P23" s="22"/>
      <c r="Q23" s="22"/>
      <c r="R23" s="22"/>
      <c r="S23" s="22"/>
      <c r="T23" s="22"/>
      <c r="U23" s="35"/>
    </row>
    <row r="24" spans="2:21">
      <c r="B24" s="45"/>
      <c r="C24" s="17"/>
      <c r="D24" s="22"/>
      <c r="E24" s="22"/>
      <c r="F24" s="22" t="s">
        <v>50</v>
      </c>
      <c r="G24" s="22"/>
      <c r="H24" s="61">
        <v>471000</v>
      </c>
      <c r="I24" s="52"/>
      <c r="J24" s="14"/>
      <c r="K24" s="40"/>
      <c r="L24" s="21" t="s">
        <v>23</v>
      </c>
      <c r="M24" s="22" t="s">
        <v>26</v>
      </c>
      <c r="N24" s="10"/>
      <c r="O24" s="10"/>
      <c r="P24" s="8"/>
      <c r="Q24" s="8"/>
      <c r="R24" s="8"/>
      <c r="S24" s="8"/>
      <c r="T24" s="8"/>
      <c r="U24" s="30"/>
    </row>
    <row r="25" spans="2:21" ht="15" thickBot="1">
      <c r="B25" s="45"/>
      <c r="C25" s="17"/>
      <c r="D25" s="22" t="s">
        <v>51</v>
      </c>
      <c r="E25" s="22"/>
      <c r="F25" s="22"/>
      <c r="G25" s="22"/>
      <c r="H25" s="86">
        <v>1479000</v>
      </c>
      <c r="I25" s="47"/>
      <c r="J25" s="1"/>
      <c r="K25" s="36"/>
      <c r="L25" s="21"/>
      <c r="M25" s="22"/>
      <c r="N25" s="10"/>
      <c r="O25" s="10"/>
      <c r="P25" s="8"/>
      <c r="Q25" s="8"/>
      <c r="R25" s="8"/>
      <c r="S25" s="8"/>
      <c r="T25" s="8"/>
      <c r="U25" s="30"/>
    </row>
    <row r="26" spans="2:21" ht="15.5" thickTop="1" thickBot="1">
      <c r="B26" s="45"/>
      <c r="C26" s="17"/>
      <c r="D26" s="22"/>
      <c r="E26" s="22"/>
      <c r="F26" s="22"/>
      <c r="G26" s="22"/>
      <c r="H26" s="35"/>
      <c r="I26" s="47"/>
      <c r="J26" s="1"/>
      <c r="K26" s="36"/>
      <c r="L26" s="31"/>
      <c r="M26" s="32"/>
      <c r="N26" s="32"/>
      <c r="O26" s="32"/>
      <c r="P26" s="32"/>
      <c r="Q26" s="32"/>
      <c r="R26" s="32"/>
      <c r="S26" s="32"/>
      <c r="T26" s="32"/>
      <c r="U26" s="33"/>
    </row>
    <row r="27" spans="2:21" ht="16" thickBot="1">
      <c r="B27" s="45"/>
      <c r="C27" s="31"/>
      <c r="D27" s="32"/>
      <c r="E27" s="32"/>
      <c r="F27" s="32"/>
      <c r="G27" s="32"/>
      <c r="H27" s="33"/>
      <c r="I27" s="53"/>
      <c r="J27" s="23"/>
      <c r="K27" s="23"/>
      <c r="L27" s="76"/>
      <c r="M27" s="85"/>
      <c r="N27" s="23"/>
      <c r="O27" s="34"/>
      <c r="P27" s="34"/>
      <c r="Q27" s="1"/>
      <c r="R27" s="1"/>
      <c r="S27" s="1"/>
      <c r="T27" s="1"/>
      <c r="U27" s="1"/>
    </row>
    <row r="28" spans="2:21" ht="16" thickBot="1">
      <c r="B28" s="54"/>
      <c r="C28" s="55"/>
      <c r="D28" s="55"/>
      <c r="E28" s="55"/>
      <c r="F28" s="55"/>
      <c r="G28" s="55"/>
      <c r="H28" s="55"/>
      <c r="I28" s="56"/>
      <c r="J28" s="23"/>
      <c r="K28" s="23"/>
      <c r="L28" s="76"/>
      <c r="M28" s="85"/>
      <c r="N28" s="23"/>
      <c r="O28" s="34"/>
      <c r="P28" s="34"/>
      <c r="Q28" s="1"/>
      <c r="R28" s="1"/>
      <c r="S28" s="1"/>
      <c r="T28" s="1"/>
      <c r="U28" s="1"/>
    </row>
    <row r="29" spans="2:21" ht="15.5">
      <c r="C29" s="1"/>
      <c r="D29" s="1"/>
      <c r="E29" s="1"/>
      <c r="F29" s="1"/>
      <c r="G29" s="1"/>
      <c r="H29" s="1"/>
      <c r="J29" s="23"/>
      <c r="K29" s="23"/>
      <c r="L29" s="76"/>
      <c r="M29" s="85"/>
      <c r="N29" s="23"/>
      <c r="O29" s="34"/>
      <c r="P29" s="34"/>
      <c r="Q29" s="1"/>
      <c r="R29" s="1"/>
      <c r="S29" s="1"/>
      <c r="T29" s="1"/>
      <c r="U29" s="1"/>
    </row>
    <row r="30" spans="2:21" ht="15.5">
      <c r="C30" s="1"/>
      <c r="D30" s="1"/>
      <c r="E30" s="1"/>
      <c r="F30" s="1"/>
      <c r="G30" s="1"/>
      <c r="H30" s="1"/>
      <c r="J30" s="23"/>
      <c r="K30" s="23"/>
      <c r="L30" s="76"/>
      <c r="M30" s="85"/>
      <c r="N30" s="23"/>
      <c r="O30" s="34"/>
      <c r="P30" s="34"/>
      <c r="Q30" s="1"/>
      <c r="R30" s="1"/>
      <c r="S30" s="1"/>
      <c r="T30" s="1"/>
      <c r="U30" s="1"/>
    </row>
    <row r="31" spans="2:21" ht="15.5">
      <c r="C31" s="1"/>
      <c r="D31" s="1"/>
      <c r="E31" s="1"/>
      <c r="F31" s="1"/>
      <c r="G31" s="1"/>
      <c r="H31" s="1"/>
      <c r="J31" s="1"/>
      <c r="K31" s="1"/>
      <c r="L31" s="76"/>
      <c r="M31" s="85"/>
      <c r="N31" s="23"/>
      <c r="O31" s="34"/>
      <c r="P31" s="34"/>
      <c r="Q31" s="1"/>
      <c r="R31" s="1"/>
      <c r="S31" s="1"/>
      <c r="T31" s="1"/>
      <c r="U31" s="1"/>
    </row>
    <row r="32" spans="2:21"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3:21">
      <c r="C33" s="1"/>
      <c r="D33" s="1"/>
      <c r="E33" s="1"/>
      <c r="F33" s="1"/>
      <c r="G33" s="1"/>
      <c r="H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3:21">
      <c r="C34" s="1"/>
      <c r="D34" s="1"/>
      <c r="E34" s="1"/>
      <c r="F34" s="1"/>
      <c r="G34" s="1"/>
      <c r="H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3:21">
      <c r="C35" s="1"/>
      <c r="D35" s="1"/>
      <c r="E35" s="1"/>
      <c r="F35" s="1"/>
      <c r="G35" s="1"/>
      <c r="H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3:21">
      <c r="C36" s="1"/>
      <c r="D36" s="1"/>
      <c r="E36" s="1"/>
      <c r="F36" s="1"/>
      <c r="G36" s="1"/>
      <c r="H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3:21">
      <c r="C37" s="1"/>
      <c r="D37" s="1"/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3:21">
      <c r="C38" s="1"/>
      <c r="D38" s="1"/>
      <c r="E38" s="1"/>
      <c r="F38" s="1"/>
      <c r="G38" s="1"/>
      <c r="H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3:21">
      <c r="C39" s="1"/>
      <c r="D39" s="1"/>
      <c r="E39" s="1"/>
      <c r="F39" s="1"/>
      <c r="G39" s="1"/>
      <c r="H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3:21">
      <c r="C40" s="1"/>
      <c r="D40" s="1"/>
      <c r="E40" s="1"/>
      <c r="F40" s="1"/>
      <c r="G40" s="1"/>
      <c r="H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3:21">
      <c r="C41" s="1"/>
      <c r="D41" s="1"/>
      <c r="E41" s="1"/>
      <c r="F41" s="1"/>
      <c r="G41" s="1"/>
      <c r="H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3:21">
      <c r="C42" s="1"/>
      <c r="D42" s="1"/>
      <c r="E42" s="1"/>
      <c r="F42" s="1"/>
      <c r="G42" s="1"/>
      <c r="H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3:21"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3:21">
      <c r="C44" s="1"/>
      <c r="D44" s="1"/>
      <c r="E44" s="1"/>
      <c r="F44" s="1"/>
      <c r="G44" s="1"/>
      <c r="H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3:21">
      <c r="C45" s="1"/>
      <c r="D45" s="1"/>
      <c r="E45" s="1"/>
      <c r="F45" s="1"/>
      <c r="G45" s="1"/>
      <c r="H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3:21">
      <c r="C46" s="1"/>
      <c r="D46" s="1"/>
      <c r="E46" s="1"/>
      <c r="F46" s="1"/>
      <c r="G46" s="1"/>
      <c r="H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3:21">
      <c r="C47" s="1"/>
      <c r="D47" s="1"/>
      <c r="E47" s="1"/>
      <c r="F47" s="1"/>
      <c r="G47" s="1"/>
      <c r="H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3:21">
      <c r="C48" s="1"/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3:21">
      <c r="C49" s="1"/>
      <c r="D49" s="1"/>
      <c r="E49" s="1"/>
      <c r="F49" s="1"/>
      <c r="G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3:21">
      <c r="C50" s="1"/>
      <c r="D50" s="1"/>
      <c r="E50" s="1"/>
      <c r="F50" s="1"/>
      <c r="G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3:21">
      <c r="C51" s="1"/>
      <c r="D51" s="1"/>
      <c r="E51" s="1"/>
      <c r="F51" s="1"/>
      <c r="G51" s="1"/>
      <c r="H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3:21">
      <c r="C52" s="1"/>
      <c r="D52" s="1"/>
      <c r="E52" s="1"/>
      <c r="F52" s="1"/>
      <c r="G52" s="1"/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3:21">
      <c r="C53" s="1"/>
      <c r="D53" s="1"/>
      <c r="E53" s="1"/>
      <c r="F53" s="1"/>
      <c r="G53" s="1"/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3:21">
      <c r="C54" s="1"/>
      <c r="D54" s="1"/>
      <c r="E54" s="1"/>
      <c r="F54" s="1"/>
      <c r="G54" s="1"/>
      <c r="H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3:21">
      <c r="C55" s="1"/>
      <c r="D55" s="1"/>
      <c r="E55" s="1"/>
      <c r="F55" s="1"/>
      <c r="G55" s="1"/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3:21">
      <c r="C56" s="1"/>
      <c r="D56" s="1"/>
      <c r="E56" s="1"/>
      <c r="F56" s="1"/>
      <c r="G56" s="1"/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3:21">
      <c r="C57" s="1"/>
      <c r="D57" s="1"/>
      <c r="E57" s="1"/>
      <c r="F57" s="1"/>
      <c r="G57" s="1"/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3:21">
      <c r="C58" s="1"/>
      <c r="D58" s="1"/>
      <c r="E58" s="1"/>
      <c r="F58" s="1"/>
      <c r="G58" s="1"/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3:21">
      <c r="C59" s="1"/>
      <c r="D59" s="1"/>
      <c r="E59" s="1"/>
      <c r="F59" s="1"/>
      <c r="G59" s="1"/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3:21">
      <c r="C60" s="1"/>
      <c r="D60" s="1"/>
      <c r="E60" s="1"/>
      <c r="F60" s="1"/>
      <c r="G60" s="1"/>
      <c r="H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3:21">
      <c r="C61" s="1"/>
      <c r="D61" s="1"/>
      <c r="E61" s="1"/>
      <c r="F61" s="1"/>
      <c r="G61" s="1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3:21">
      <c r="C62" s="1"/>
      <c r="D62" s="1"/>
      <c r="E62" s="1"/>
      <c r="F62" s="1"/>
      <c r="G62" s="1"/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3:21">
      <c r="C63" s="1"/>
      <c r="D63" s="1"/>
      <c r="E63" s="1"/>
      <c r="F63" s="1"/>
      <c r="G63" s="1"/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3:21">
      <c r="C64" s="1"/>
      <c r="D64" s="1"/>
      <c r="E64" s="1"/>
      <c r="F64" s="1"/>
      <c r="G64" s="1"/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3:21">
      <c r="C65" s="1"/>
      <c r="D65" s="1"/>
      <c r="E65" s="1"/>
      <c r="F65" s="1"/>
      <c r="G65" s="1"/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3:21">
      <c r="C66" s="1"/>
      <c r="D66" s="1"/>
      <c r="E66" s="1"/>
      <c r="F66" s="1"/>
      <c r="G66" s="1"/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3:21">
      <c r="C67" s="1"/>
      <c r="D67" s="1"/>
      <c r="E67" s="1"/>
      <c r="F67" s="1"/>
      <c r="G67" s="1"/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3:21">
      <c r="C68" s="1"/>
      <c r="D68" s="1"/>
      <c r="E68" s="1"/>
      <c r="F68" s="1"/>
      <c r="G68" s="1"/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3:21">
      <c r="C69" s="1"/>
      <c r="D69" s="1"/>
      <c r="E69" s="1"/>
      <c r="F69" s="1"/>
      <c r="G69" s="1"/>
      <c r="H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3:21">
      <c r="C70" s="1"/>
      <c r="D70" s="1"/>
      <c r="E70" s="1"/>
      <c r="F70" s="1"/>
      <c r="G70" s="1"/>
      <c r="H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3:21">
      <c r="C71" s="1"/>
      <c r="D71" s="1"/>
      <c r="E71" s="1"/>
      <c r="F71" s="1"/>
      <c r="G71" s="1"/>
      <c r="H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3:21">
      <c r="C72" s="1"/>
      <c r="D72" s="1"/>
      <c r="E72" s="1"/>
      <c r="F72" s="1"/>
      <c r="G72" s="1"/>
      <c r="H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3:21">
      <c r="C73" s="1"/>
      <c r="D73" s="1"/>
      <c r="E73" s="1"/>
      <c r="F73" s="1"/>
      <c r="G73" s="1"/>
      <c r="H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3:21">
      <c r="C74" s="1"/>
      <c r="D74" s="1"/>
      <c r="E74" s="1"/>
      <c r="F74" s="1"/>
      <c r="G74" s="1"/>
      <c r="H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3:21">
      <c r="C75" s="1"/>
      <c r="D75" s="1"/>
      <c r="E75" s="1"/>
      <c r="F75" s="1"/>
      <c r="G75" s="1"/>
      <c r="H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3:21">
      <c r="C76" s="1"/>
      <c r="D76" s="1"/>
      <c r="E76" s="1"/>
      <c r="F76" s="1"/>
      <c r="G76" s="1"/>
      <c r="H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3:21">
      <c r="C77" s="1"/>
      <c r="D77" s="1"/>
      <c r="E77" s="1"/>
      <c r="F77" s="1"/>
      <c r="G77" s="1"/>
      <c r="H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3:21">
      <c r="C78" s="1"/>
      <c r="D78" s="1"/>
      <c r="E78" s="1"/>
      <c r="F78" s="1"/>
      <c r="G78" s="1"/>
      <c r="H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3:21">
      <c r="C79" s="1"/>
      <c r="D79" s="1"/>
      <c r="E79" s="1"/>
      <c r="F79" s="1"/>
      <c r="G79" s="1"/>
      <c r="H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3:21">
      <c r="C80" s="1"/>
      <c r="D80" s="1"/>
      <c r="E80" s="1"/>
      <c r="F80" s="1"/>
      <c r="G80" s="1"/>
      <c r="H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3:21">
      <c r="C81" s="1"/>
      <c r="D81" s="1"/>
      <c r="E81" s="1"/>
      <c r="F81" s="1"/>
      <c r="G81" s="1"/>
      <c r="H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3:21">
      <c r="C82" s="1"/>
      <c r="D82" s="1"/>
      <c r="E82" s="1"/>
      <c r="F82" s="1"/>
      <c r="G82" s="1"/>
      <c r="H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3:21">
      <c r="C83" s="1"/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3:21">
      <c r="C84" s="1"/>
      <c r="D84" s="1"/>
      <c r="E84" s="1"/>
      <c r="F84" s="1"/>
      <c r="G84" s="1"/>
      <c r="H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3:21">
      <c r="C85" s="1"/>
      <c r="D85" s="1"/>
      <c r="E85" s="1"/>
      <c r="F85" s="1"/>
      <c r="G85" s="1"/>
      <c r="H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3:21">
      <c r="C86" s="1"/>
      <c r="D86" s="1"/>
      <c r="E86" s="1"/>
      <c r="F86" s="1"/>
      <c r="G86" s="1"/>
      <c r="H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3:21">
      <c r="C87" s="1"/>
      <c r="D87" s="1"/>
      <c r="E87" s="1"/>
      <c r="F87" s="1"/>
      <c r="G87" s="1"/>
      <c r="H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3:21">
      <c r="C88" s="1"/>
      <c r="D88" s="1"/>
      <c r="E88" s="1"/>
      <c r="F88" s="1"/>
      <c r="G88" s="1"/>
      <c r="H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3:21">
      <c r="C89" s="1"/>
      <c r="D89" s="1"/>
      <c r="E89" s="1"/>
      <c r="F89" s="1"/>
      <c r="G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3:21">
      <c r="C90" s="1"/>
      <c r="D90" s="1"/>
      <c r="E90" s="1"/>
      <c r="F90" s="1"/>
      <c r="G90" s="1"/>
      <c r="H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3:21">
      <c r="C91" s="1"/>
      <c r="D91" s="1"/>
      <c r="E91" s="1"/>
      <c r="F91" s="1"/>
      <c r="G91" s="1"/>
      <c r="H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3:21">
      <c r="C92" s="1"/>
      <c r="D92" s="1"/>
      <c r="E92" s="1"/>
      <c r="F92" s="1"/>
      <c r="G92" s="1"/>
      <c r="H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3:21">
      <c r="C93" s="1"/>
      <c r="D93" s="1"/>
      <c r="E93" s="1"/>
      <c r="F93" s="1"/>
      <c r="G93" s="1"/>
      <c r="H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3:21">
      <c r="C94" s="1"/>
      <c r="D94" s="1"/>
      <c r="E94" s="1"/>
      <c r="F94" s="1"/>
      <c r="G94" s="1"/>
      <c r="H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3:21">
      <c r="C95" s="1"/>
      <c r="D95" s="1"/>
      <c r="E95" s="1"/>
      <c r="F95" s="1"/>
      <c r="G95" s="1"/>
      <c r="H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3:21">
      <c r="C96" s="1"/>
      <c r="D96" s="1"/>
      <c r="E96" s="1"/>
      <c r="F96" s="1"/>
      <c r="G96" s="1"/>
      <c r="H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3:21">
      <c r="C97" s="1"/>
      <c r="D97" s="1"/>
      <c r="E97" s="1"/>
      <c r="F97" s="1"/>
      <c r="G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3:21">
      <c r="C98" s="1"/>
      <c r="D98" s="1"/>
      <c r="E98" s="1"/>
      <c r="F98" s="1"/>
      <c r="G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3:21">
      <c r="C99" s="1"/>
      <c r="D99" s="1"/>
      <c r="E99" s="1"/>
      <c r="F99" s="1"/>
      <c r="G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3:21">
      <c r="C100" s="1"/>
      <c r="D100" s="1"/>
      <c r="E100" s="1"/>
      <c r="F100" s="1"/>
      <c r="G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3:21">
      <c r="C101" s="1"/>
      <c r="D101" s="1"/>
      <c r="E101" s="1"/>
      <c r="F101" s="1"/>
      <c r="G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3:21">
      <c r="C102" s="1"/>
      <c r="D102" s="1"/>
      <c r="E102" s="1"/>
      <c r="F102" s="1"/>
      <c r="G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3:21">
      <c r="C103" s="1"/>
      <c r="D103" s="1"/>
      <c r="E103" s="1"/>
      <c r="F103" s="1"/>
      <c r="G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3:21">
      <c r="C104" s="1"/>
      <c r="D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3:21">
      <c r="C105" s="1"/>
      <c r="D105" s="1"/>
      <c r="E105" s="1"/>
      <c r="F105" s="1"/>
      <c r="G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3:21">
      <c r="C106" s="1"/>
      <c r="D106" s="1"/>
      <c r="E106" s="1"/>
      <c r="F106" s="1"/>
      <c r="G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3:21">
      <c r="C107" s="1"/>
      <c r="D107" s="1"/>
      <c r="E107" s="1"/>
      <c r="F107" s="1"/>
      <c r="G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3:21">
      <c r="C108" s="1"/>
      <c r="D108" s="1"/>
      <c r="E108" s="1"/>
      <c r="F108" s="1"/>
      <c r="G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3:21">
      <c r="C109" s="1"/>
      <c r="D109" s="1"/>
      <c r="E109" s="1"/>
      <c r="F109" s="1"/>
      <c r="G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3:21">
      <c r="C110" s="1"/>
      <c r="D110" s="1"/>
      <c r="E110" s="1"/>
      <c r="F110" s="1"/>
      <c r="G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3:21">
      <c r="C111" s="1"/>
      <c r="D111" s="1"/>
      <c r="E111" s="1"/>
      <c r="F111" s="1"/>
      <c r="G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3:21">
      <c r="C112" s="1"/>
      <c r="D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3:21">
      <c r="C113" s="1"/>
      <c r="D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3:21">
      <c r="C114" s="1"/>
      <c r="D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3:21">
      <c r="C115" s="1"/>
      <c r="D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3:21">
      <c r="C116" s="1"/>
      <c r="D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3:21">
      <c r="C117" s="1"/>
      <c r="D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3:21">
      <c r="C118" s="1"/>
      <c r="D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3:21">
      <c r="C119" s="1"/>
      <c r="D119" s="1"/>
      <c r="E119" s="1"/>
      <c r="F119" s="1"/>
      <c r="G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3:21">
      <c r="C120" s="1"/>
      <c r="D120" s="1"/>
      <c r="E120" s="1"/>
      <c r="F120" s="1"/>
      <c r="G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3:21">
      <c r="C121" s="1"/>
      <c r="D121" s="1"/>
      <c r="E121" s="1"/>
      <c r="F121" s="1"/>
      <c r="G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3:21">
      <c r="C122" s="1"/>
      <c r="D122" s="1"/>
      <c r="E122" s="1"/>
      <c r="F122" s="1"/>
      <c r="G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3:21">
      <c r="C123" s="1"/>
      <c r="D123" s="1"/>
      <c r="E123" s="1"/>
      <c r="F123" s="1"/>
      <c r="G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3:21">
      <c r="C124" s="1"/>
      <c r="D124" s="1"/>
      <c r="E124" s="1"/>
      <c r="F124" s="1"/>
      <c r="G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3:21">
      <c r="C125" s="1"/>
      <c r="D125" s="1"/>
      <c r="E125" s="1"/>
      <c r="F125" s="1"/>
      <c r="G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3:21">
      <c r="C126" s="1"/>
      <c r="D126" s="1"/>
      <c r="E126" s="1"/>
      <c r="F126" s="1"/>
      <c r="G126" s="1"/>
      <c r="H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3:21">
      <c r="C127" s="1"/>
      <c r="D127" s="1"/>
      <c r="E127" s="1"/>
      <c r="F127" s="1"/>
      <c r="G127" s="1"/>
      <c r="H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3:21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pans="12:21" s="1" customFormat="1">
      <c r="L929"/>
      <c r="M929"/>
      <c r="N929"/>
      <c r="O929"/>
      <c r="P929"/>
      <c r="Q929"/>
      <c r="R929"/>
      <c r="S929"/>
      <c r="T929"/>
      <c r="U929"/>
    </row>
    <row r="930" spans="12:21" s="1" customFormat="1">
      <c r="L930"/>
      <c r="M930"/>
      <c r="N930"/>
      <c r="O930"/>
      <c r="P930"/>
      <c r="Q930"/>
      <c r="R930"/>
      <c r="S930"/>
      <c r="T930"/>
      <c r="U930"/>
    </row>
    <row r="931" spans="12:21" s="1" customFormat="1">
      <c r="L931"/>
      <c r="M931"/>
      <c r="N931"/>
      <c r="O931"/>
      <c r="P931"/>
      <c r="Q931"/>
      <c r="R931"/>
      <c r="S931"/>
      <c r="T931"/>
      <c r="U931"/>
    </row>
    <row r="932" spans="12:21" s="1" customFormat="1">
      <c r="L932"/>
      <c r="M932"/>
      <c r="N932"/>
      <c r="O932"/>
      <c r="P932"/>
      <c r="Q932"/>
      <c r="R932"/>
      <c r="S932"/>
      <c r="T932"/>
      <c r="U932"/>
    </row>
    <row r="933" spans="12:21" s="1" customFormat="1">
      <c r="L933"/>
      <c r="M933"/>
      <c r="N933"/>
      <c r="O933"/>
      <c r="P933"/>
      <c r="Q933"/>
      <c r="R933"/>
      <c r="S933"/>
      <c r="T933"/>
      <c r="U933"/>
    </row>
    <row r="934" spans="12:21" s="1" customFormat="1">
      <c r="L934"/>
      <c r="M934"/>
      <c r="N934"/>
      <c r="O934"/>
      <c r="P934"/>
      <c r="Q934"/>
      <c r="R934"/>
      <c r="S934"/>
      <c r="T934"/>
      <c r="U934"/>
    </row>
    <row r="935" spans="12:21" s="1" customFormat="1">
      <c r="L935"/>
      <c r="M935"/>
      <c r="N935"/>
      <c r="O935"/>
      <c r="P935"/>
      <c r="Q935"/>
      <c r="R935"/>
      <c r="S935"/>
      <c r="T935"/>
      <c r="U935"/>
    </row>
    <row r="936" spans="12:21" s="1" customFormat="1">
      <c r="L936"/>
      <c r="M936"/>
      <c r="N936"/>
      <c r="O936"/>
      <c r="P936"/>
      <c r="Q936"/>
      <c r="R936"/>
      <c r="S936"/>
      <c r="T936"/>
      <c r="U936"/>
    </row>
    <row r="937" spans="12:21" s="1" customFormat="1">
      <c r="L937"/>
      <c r="M937"/>
      <c r="N937"/>
      <c r="O937"/>
      <c r="P937"/>
      <c r="Q937"/>
      <c r="R937"/>
      <c r="S937"/>
      <c r="T937"/>
      <c r="U937"/>
    </row>
    <row r="938" spans="12:21" s="1" customFormat="1">
      <c r="L938"/>
      <c r="M938"/>
      <c r="N938"/>
      <c r="O938"/>
      <c r="P938"/>
      <c r="Q938"/>
      <c r="R938"/>
      <c r="S938"/>
      <c r="T938"/>
      <c r="U938"/>
    </row>
    <row r="939" spans="12:21" s="1" customFormat="1">
      <c r="L939"/>
      <c r="M939"/>
      <c r="N939"/>
      <c r="O939"/>
      <c r="P939"/>
      <c r="Q939"/>
      <c r="R939"/>
      <c r="S939"/>
      <c r="T939"/>
      <c r="U939"/>
    </row>
    <row r="940" spans="12:21" s="1" customFormat="1">
      <c r="L940"/>
      <c r="M940"/>
      <c r="N940"/>
      <c r="O940"/>
      <c r="P940"/>
      <c r="Q940"/>
      <c r="R940"/>
      <c r="S940"/>
      <c r="T940"/>
      <c r="U940"/>
    </row>
    <row r="941" spans="12:21" s="1" customFormat="1">
      <c r="L941"/>
      <c r="M941"/>
      <c r="N941"/>
      <c r="O941"/>
      <c r="P941"/>
      <c r="Q941"/>
      <c r="R941"/>
      <c r="S941"/>
      <c r="T941"/>
      <c r="U941"/>
    </row>
    <row r="942" spans="12:21" s="1" customFormat="1">
      <c r="L942"/>
      <c r="M942"/>
      <c r="N942"/>
      <c r="O942"/>
      <c r="P942"/>
      <c r="Q942"/>
      <c r="R942"/>
      <c r="S942"/>
      <c r="T942"/>
      <c r="U942"/>
    </row>
    <row r="943" spans="12:21" s="1" customFormat="1">
      <c r="L943"/>
      <c r="M943"/>
      <c r="N943"/>
      <c r="O943"/>
      <c r="P943"/>
      <c r="Q943"/>
      <c r="R943"/>
      <c r="S943"/>
      <c r="T943"/>
      <c r="U943"/>
    </row>
    <row r="944" spans="12:21" s="1" customFormat="1">
      <c r="L944"/>
      <c r="M944"/>
      <c r="N944"/>
      <c r="O944"/>
      <c r="P944"/>
      <c r="Q944"/>
      <c r="R944"/>
      <c r="S944"/>
      <c r="T944"/>
      <c r="U944"/>
    </row>
    <row r="945" spans="12:21" s="1" customFormat="1">
      <c r="L945"/>
      <c r="M945"/>
      <c r="N945"/>
      <c r="O945"/>
      <c r="P945"/>
      <c r="Q945"/>
      <c r="R945"/>
      <c r="S945"/>
      <c r="T945"/>
      <c r="U945"/>
    </row>
    <row r="946" spans="12:21" s="1" customFormat="1">
      <c r="L946"/>
      <c r="M946"/>
      <c r="N946"/>
      <c r="O946"/>
      <c r="P946"/>
      <c r="Q946"/>
      <c r="R946"/>
      <c r="S946"/>
      <c r="T946"/>
      <c r="U946"/>
    </row>
    <row r="947" spans="12:21" s="1" customFormat="1">
      <c r="L947"/>
      <c r="M947"/>
      <c r="N947"/>
      <c r="O947"/>
      <c r="P947"/>
      <c r="Q947"/>
      <c r="R947"/>
      <c r="S947"/>
      <c r="T947"/>
      <c r="U947"/>
    </row>
    <row r="948" spans="12:21" s="1" customFormat="1">
      <c r="L948"/>
      <c r="M948"/>
      <c r="N948"/>
      <c r="O948"/>
      <c r="P948"/>
      <c r="Q948"/>
      <c r="R948"/>
      <c r="S948"/>
      <c r="T948"/>
      <c r="U948"/>
    </row>
    <row r="949" spans="12:21" s="1" customFormat="1">
      <c r="L949"/>
      <c r="M949"/>
      <c r="N949"/>
      <c r="O949"/>
      <c r="P949"/>
      <c r="Q949"/>
      <c r="R949"/>
      <c r="S949"/>
      <c r="T949"/>
      <c r="U949"/>
    </row>
    <row r="950" spans="12:21" s="1" customFormat="1">
      <c r="L950"/>
      <c r="M950"/>
      <c r="N950"/>
      <c r="O950"/>
      <c r="P950"/>
      <c r="Q950"/>
      <c r="R950"/>
      <c r="S950"/>
      <c r="T950"/>
      <c r="U950"/>
    </row>
    <row r="951" spans="12:21" s="1" customFormat="1">
      <c r="L951"/>
      <c r="M951"/>
      <c r="N951"/>
      <c r="O951"/>
      <c r="P951"/>
      <c r="Q951"/>
      <c r="R951"/>
      <c r="S951"/>
      <c r="T951"/>
      <c r="U951"/>
    </row>
    <row r="952" spans="12:21" s="1" customFormat="1">
      <c r="L952"/>
      <c r="M952"/>
      <c r="N952"/>
      <c r="O952"/>
      <c r="P952"/>
      <c r="Q952"/>
      <c r="R952"/>
      <c r="S952"/>
      <c r="T952"/>
      <c r="U952"/>
    </row>
    <row r="953" spans="12:21" s="1" customFormat="1">
      <c r="L953"/>
      <c r="M953"/>
      <c r="N953"/>
      <c r="O953"/>
      <c r="P953"/>
      <c r="Q953"/>
      <c r="R953"/>
      <c r="S953"/>
      <c r="T953"/>
      <c r="U953"/>
    </row>
    <row r="954" spans="12:21" s="1" customFormat="1">
      <c r="L954"/>
      <c r="M954"/>
      <c r="N954"/>
      <c r="O954"/>
      <c r="P954"/>
      <c r="Q954"/>
      <c r="R954"/>
      <c r="S954"/>
      <c r="T954"/>
      <c r="U954"/>
    </row>
    <row r="955" spans="12:21" s="1" customFormat="1">
      <c r="L955"/>
      <c r="M955"/>
      <c r="N955"/>
      <c r="O955"/>
      <c r="P955"/>
      <c r="Q955"/>
      <c r="R955"/>
      <c r="S955"/>
      <c r="T955"/>
      <c r="U955"/>
    </row>
    <row r="956" spans="12:21" s="1" customFormat="1">
      <c r="L956"/>
      <c r="M956"/>
      <c r="N956"/>
      <c r="O956"/>
      <c r="P956"/>
      <c r="Q956"/>
      <c r="R956"/>
      <c r="S956"/>
      <c r="T956"/>
      <c r="U956"/>
    </row>
    <row r="957" spans="12:21" s="1" customFormat="1">
      <c r="L957"/>
      <c r="M957"/>
      <c r="N957"/>
      <c r="O957"/>
      <c r="P957"/>
      <c r="Q957"/>
      <c r="R957"/>
      <c r="S957"/>
      <c r="T957"/>
      <c r="U957"/>
    </row>
    <row r="958" spans="12:21" s="1" customFormat="1">
      <c r="L958"/>
      <c r="M958"/>
      <c r="N958"/>
      <c r="O958"/>
      <c r="P958"/>
      <c r="Q958"/>
      <c r="R958"/>
      <c r="S958"/>
      <c r="T958"/>
      <c r="U958"/>
    </row>
    <row r="959" spans="12:21" s="1" customFormat="1">
      <c r="L959"/>
      <c r="M959"/>
      <c r="N959"/>
      <c r="O959"/>
      <c r="P959"/>
      <c r="Q959"/>
      <c r="R959"/>
      <c r="S959"/>
      <c r="T959"/>
      <c r="U959"/>
    </row>
    <row r="960" spans="12:21" s="1" customFormat="1">
      <c r="L960"/>
      <c r="M960"/>
      <c r="N960"/>
      <c r="O960"/>
      <c r="P960"/>
      <c r="Q960"/>
      <c r="R960"/>
      <c r="S960"/>
      <c r="T960"/>
      <c r="U960"/>
    </row>
    <row r="961" spans="12:21" s="1" customFormat="1">
      <c r="L961"/>
      <c r="M961"/>
      <c r="N961"/>
      <c r="O961"/>
      <c r="P961"/>
      <c r="Q961"/>
      <c r="R961"/>
      <c r="S961"/>
      <c r="T961"/>
      <c r="U961"/>
    </row>
    <row r="962" spans="12:21" s="1" customFormat="1">
      <c r="L962"/>
      <c r="M962"/>
      <c r="N962"/>
      <c r="O962"/>
      <c r="P962"/>
      <c r="Q962"/>
      <c r="R962"/>
      <c r="S962"/>
      <c r="T962"/>
      <c r="U962"/>
    </row>
    <row r="963" spans="12:21" s="1" customFormat="1">
      <c r="L963"/>
      <c r="M963"/>
      <c r="N963"/>
      <c r="O963"/>
      <c r="P963"/>
      <c r="Q963"/>
      <c r="R963"/>
      <c r="S963"/>
      <c r="T963"/>
      <c r="U963"/>
    </row>
    <row r="964" spans="12:21" s="1" customFormat="1">
      <c r="L964"/>
      <c r="M964"/>
      <c r="N964"/>
      <c r="O964"/>
      <c r="P964"/>
      <c r="Q964"/>
      <c r="R964"/>
      <c r="S964"/>
      <c r="T964"/>
      <c r="U964"/>
    </row>
    <row r="965" spans="12:21" s="1" customFormat="1">
      <c r="L965"/>
      <c r="M965"/>
      <c r="N965"/>
      <c r="O965"/>
      <c r="P965"/>
      <c r="Q965"/>
      <c r="R965"/>
      <c r="S965"/>
      <c r="T965"/>
      <c r="U965"/>
    </row>
    <row r="966" spans="12:21" s="1" customFormat="1">
      <c r="L966"/>
      <c r="M966"/>
      <c r="N966"/>
      <c r="O966"/>
      <c r="P966"/>
      <c r="Q966"/>
      <c r="R966"/>
      <c r="S966"/>
      <c r="T966"/>
      <c r="U966"/>
    </row>
    <row r="967" spans="12:21" s="1" customFormat="1">
      <c r="L967"/>
      <c r="M967"/>
      <c r="N967"/>
      <c r="O967"/>
      <c r="P967"/>
      <c r="Q967"/>
      <c r="R967"/>
      <c r="S967"/>
      <c r="T967"/>
      <c r="U967"/>
    </row>
    <row r="968" spans="12:21" s="1" customFormat="1">
      <c r="L968"/>
      <c r="M968"/>
      <c r="N968"/>
      <c r="O968"/>
      <c r="P968"/>
      <c r="Q968"/>
      <c r="R968"/>
      <c r="S968"/>
      <c r="T968"/>
      <c r="U968"/>
    </row>
    <row r="969" spans="12:21" s="1" customFormat="1">
      <c r="L969"/>
      <c r="M969"/>
      <c r="N969"/>
      <c r="O969"/>
      <c r="P969"/>
      <c r="Q969"/>
      <c r="R969"/>
      <c r="S969"/>
      <c r="T969"/>
      <c r="U969"/>
    </row>
    <row r="970" spans="12:21" s="1" customFormat="1">
      <c r="L970"/>
      <c r="M970"/>
      <c r="N970"/>
      <c r="O970"/>
      <c r="P970"/>
      <c r="Q970"/>
      <c r="R970"/>
      <c r="S970"/>
      <c r="T970"/>
      <c r="U970"/>
    </row>
    <row r="971" spans="12:21" s="1" customFormat="1">
      <c r="L971"/>
      <c r="M971"/>
      <c r="N971"/>
      <c r="O971"/>
      <c r="P971"/>
      <c r="Q971"/>
      <c r="R971"/>
      <c r="S971"/>
      <c r="T971"/>
      <c r="U971"/>
    </row>
    <row r="972" spans="12:21" s="1" customFormat="1">
      <c r="L972"/>
      <c r="M972"/>
      <c r="N972"/>
      <c r="O972"/>
      <c r="P972"/>
      <c r="Q972"/>
      <c r="R972"/>
      <c r="S972"/>
      <c r="T972"/>
      <c r="U972"/>
    </row>
    <row r="973" spans="12:21" s="1" customFormat="1">
      <c r="L973"/>
      <c r="M973"/>
      <c r="N973"/>
      <c r="O973"/>
      <c r="P973"/>
      <c r="Q973"/>
      <c r="R973"/>
      <c r="S973"/>
      <c r="T973"/>
      <c r="U973"/>
    </row>
    <row r="974" spans="12:21" s="1" customFormat="1">
      <c r="L974"/>
      <c r="M974"/>
      <c r="N974"/>
      <c r="O974"/>
      <c r="P974"/>
      <c r="Q974"/>
      <c r="R974"/>
      <c r="S974"/>
      <c r="T974"/>
      <c r="U974"/>
    </row>
    <row r="975" spans="12:21" s="1" customFormat="1">
      <c r="L975"/>
      <c r="M975"/>
      <c r="N975"/>
      <c r="O975"/>
      <c r="P975"/>
      <c r="Q975"/>
      <c r="R975"/>
      <c r="S975"/>
      <c r="T975"/>
      <c r="U975"/>
    </row>
    <row r="976" spans="12:21" s="1" customFormat="1">
      <c r="L976"/>
      <c r="M976"/>
      <c r="N976"/>
      <c r="O976"/>
      <c r="P976"/>
      <c r="Q976"/>
      <c r="R976"/>
      <c r="S976"/>
      <c r="T976"/>
      <c r="U976"/>
    </row>
    <row r="977" spans="12:21" s="1" customFormat="1">
      <c r="L977"/>
      <c r="M977"/>
      <c r="N977"/>
      <c r="O977"/>
      <c r="P977"/>
      <c r="Q977"/>
      <c r="R977"/>
      <c r="S977"/>
      <c r="T977"/>
      <c r="U977"/>
    </row>
    <row r="978" spans="12:21" s="1" customFormat="1">
      <c r="L978"/>
      <c r="M978"/>
      <c r="N978"/>
      <c r="O978"/>
      <c r="P978"/>
      <c r="Q978"/>
      <c r="R978"/>
      <c r="S978"/>
      <c r="T978"/>
      <c r="U978"/>
    </row>
    <row r="979" spans="12:21" s="1" customFormat="1">
      <c r="L979"/>
      <c r="M979"/>
      <c r="N979"/>
      <c r="O979"/>
      <c r="P979"/>
      <c r="Q979"/>
      <c r="R979"/>
      <c r="S979"/>
      <c r="T979"/>
      <c r="U979"/>
    </row>
    <row r="980" spans="12:21" s="1" customFormat="1">
      <c r="L980"/>
      <c r="M980"/>
      <c r="N980"/>
      <c r="O980"/>
      <c r="P980"/>
      <c r="Q980"/>
      <c r="R980"/>
      <c r="S980"/>
      <c r="T980"/>
      <c r="U980"/>
    </row>
    <row r="981" spans="12:21" s="1" customFormat="1">
      <c r="L981"/>
      <c r="M981"/>
      <c r="N981"/>
      <c r="O981"/>
      <c r="P981"/>
      <c r="Q981"/>
      <c r="R981"/>
      <c r="S981"/>
      <c r="T981"/>
      <c r="U981"/>
    </row>
    <row r="982" spans="12:21" s="1" customFormat="1">
      <c r="L982"/>
      <c r="M982"/>
      <c r="N982"/>
      <c r="O982"/>
      <c r="P982"/>
      <c r="Q982"/>
      <c r="R982"/>
      <c r="S982"/>
      <c r="T982"/>
      <c r="U982"/>
    </row>
    <row r="983" spans="12:21" s="1" customFormat="1">
      <c r="L983"/>
      <c r="M983"/>
      <c r="N983"/>
      <c r="O983"/>
      <c r="P983"/>
      <c r="Q983"/>
      <c r="R983"/>
      <c r="S983"/>
      <c r="T983"/>
      <c r="U983"/>
    </row>
    <row r="984" spans="12:21" s="1" customFormat="1">
      <c r="L984"/>
      <c r="M984"/>
      <c r="N984"/>
      <c r="O984"/>
      <c r="P984"/>
      <c r="Q984"/>
      <c r="R984"/>
      <c r="S984"/>
      <c r="T984"/>
      <c r="U984"/>
    </row>
    <row r="985" spans="12:21" s="1" customFormat="1">
      <c r="L985"/>
      <c r="M985"/>
      <c r="N985"/>
      <c r="O985"/>
      <c r="P985"/>
      <c r="Q985"/>
      <c r="R985"/>
      <c r="S985"/>
      <c r="T985"/>
      <c r="U985"/>
    </row>
    <row r="986" spans="12:21" s="1" customFormat="1">
      <c r="L986"/>
      <c r="M986"/>
      <c r="N986"/>
      <c r="O986"/>
      <c r="P986"/>
      <c r="Q986"/>
      <c r="R986"/>
      <c r="S986"/>
      <c r="T986"/>
      <c r="U986"/>
    </row>
    <row r="987" spans="12:21" s="1" customFormat="1">
      <c r="L987"/>
      <c r="M987"/>
      <c r="N987"/>
      <c r="O987"/>
      <c r="P987"/>
      <c r="Q987"/>
      <c r="R987"/>
      <c r="S987"/>
      <c r="T987"/>
      <c r="U987"/>
    </row>
    <row r="988" spans="12:21" s="1" customFormat="1">
      <c r="L988"/>
      <c r="M988"/>
      <c r="N988"/>
      <c r="O988"/>
      <c r="P988"/>
      <c r="Q988"/>
      <c r="R988"/>
      <c r="S988"/>
      <c r="T988"/>
      <c r="U988"/>
    </row>
    <row r="989" spans="12:21" s="1" customFormat="1">
      <c r="L989"/>
      <c r="M989"/>
      <c r="N989"/>
      <c r="O989"/>
      <c r="P989"/>
      <c r="Q989"/>
      <c r="R989"/>
      <c r="S989"/>
      <c r="T989"/>
      <c r="U989"/>
    </row>
    <row r="990" spans="12:21" s="1" customFormat="1">
      <c r="L990"/>
      <c r="M990"/>
      <c r="N990"/>
      <c r="O990"/>
      <c r="P990"/>
      <c r="Q990"/>
      <c r="R990"/>
      <c r="S990"/>
      <c r="T990"/>
      <c r="U990"/>
    </row>
    <row r="991" spans="12:21" s="1" customFormat="1">
      <c r="L991"/>
      <c r="M991"/>
      <c r="N991"/>
      <c r="O991"/>
      <c r="P991"/>
      <c r="Q991"/>
      <c r="R991"/>
      <c r="S991"/>
      <c r="T991"/>
      <c r="U991"/>
    </row>
    <row r="992" spans="12:21" s="1" customFormat="1">
      <c r="L992"/>
      <c r="M992"/>
      <c r="N992"/>
      <c r="O992"/>
      <c r="P992"/>
      <c r="Q992"/>
      <c r="R992"/>
      <c r="S992"/>
      <c r="T992"/>
      <c r="U992"/>
    </row>
    <row r="993" spans="12:21" s="1" customFormat="1">
      <c r="L993"/>
      <c r="M993"/>
      <c r="N993"/>
      <c r="O993"/>
      <c r="P993"/>
      <c r="Q993"/>
      <c r="R993"/>
      <c r="S993"/>
      <c r="T993"/>
      <c r="U993"/>
    </row>
    <row r="994" spans="12:21" s="1" customFormat="1">
      <c r="L994"/>
      <c r="M994"/>
      <c r="N994"/>
      <c r="O994"/>
      <c r="P994"/>
      <c r="Q994"/>
      <c r="R994"/>
      <c r="S994"/>
      <c r="T994"/>
      <c r="U994"/>
    </row>
    <row r="995" spans="12:21" s="1" customFormat="1">
      <c r="L995"/>
      <c r="M995"/>
      <c r="N995"/>
      <c r="O995"/>
      <c r="P995"/>
      <c r="Q995"/>
      <c r="R995"/>
      <c r="S995"/>
      <c r="T995"/>
      <c r="U995"/>
    </row>
    <row r="996" spans="12:21" s="1" customFormat="1">
      <c r="L996"/>
      <c r="M996"/>
      <c r="N996"/>
      <c r="O996"/>
      <c r="P996"/>
      <c r="Q996"/>
      <c r="R996"/>
      <c r="S996"/>
      <c r="T996"/>
      <c r="U996"/>
    </row>
    <row r="997" spans="12:21" s="1" customFormat="1">
      <c r="L997"/>
      <c r="M997"/>
      <c r="N997"/>
      <c r="O997"/>
      <c r="P997"/>
      <c r="Q997"/>
      <c r="R997"/>
      <c r="S997"/>
      <c r="T997"/>
      <c r="U997"/>
    </row>
    <row r="998" spans="12:21" s="1" customFormat="1">
      <c r="L998"/>
      <c r="M998"/>
      <c r="N998"/>
      <c r="O998"/>
      <c r="P998"/>
      <c r="Q998"/>
      <c r="R998"/>
      <c r="S998"/>
      <c r="T998"/>
      <c r="U998"/>
    </row>
    <row r="999" spans="12:21" s="1" customFormat="1">
      <c r="L999"/>
      <c r="M999"/>
      <c r="N999"/>
      <c r="O999"/>
      <c r="P999"/>
      <c r="Q999"/>
      <c r="R999"/>
      <c r="S999"/>
      <c r="T999"/>
      <c r="U999"/>
    </row>
    <row r="1000" spans="12:21" s="1" customFormat="1">
      <c r="L1000"/>
      <c r="M1000"/>
      <c r="N1000"/>
      <c r="O1000"/>
      <c r="P1000"/>
      <c r="Q1000"/>
      <c r="R1000"/>
      <c r="S1000"/>
      <c r="T1000"/>
      <c r="U1000"/>
    </row>
    <row r="1001" spans="12:21" s="1" customFormat="1">
      <c r="L1001"/>
      <c r="M1001"/>
      <c r="N1001"/>
      <c r="O1001"/>
      <c r="P1001"/>
      <c r="Q1001"/>
      <c r="R1001"/>
      <c r="S1001"/>
      <c r="T1001"/>
      <c r="U1001"/>
    </row>
    <row r="1002" spans="12:21" s="1" customFormat="1">
      <c r="L1002"/>
      <c r="M1002"/>
      <c r="N1002"/>
      <c r="O1002"/>
      <c r="P1002"/>
      <c r="Q1002"/>
      <c r="R1002"/>
      <c r="S1002"/>
      <c r="T1002"/>
      <c r="U1002"/>
    </row>
    <row r="1003" spans="12:21" s="1" customFormat="1">
      <c r="L1003"/>
      <c r="M1003"/>
      <c r="N1003"/>
      <c r="O1003"/>
      <c r="P1003"/>
      <c r="Q1003"/>
      <c r="R1003"/>
      <c r="S1003"/>
      <c r="T1003"/>
      <c r="U1003"/>
    </row>
    <row r="1004" spans="12:21" s="1" customFormat="1">
      <c r="L1004"/>
      <c r="M1004"/>
      <c r="N1004"/>
      <c r="O1004"/>
      <c r="P1004"/>
      <c r="Q1004"/>
      <c r="R1004"/>
      <c r="S1004"/>
      <c r="T1004"/>
      <c r="U1004"/>
    </row>
    <row r="1005" spans="12:21" s="1" customFormat="1">
      <c r="L1005"/>
      <c r="M1005"/>
      <c r="N1005"/>
      <c r="O1005"/>
      <c r="P1005"/>
      <c r="Q1005"/>
      <c r="R1005"/>
      <c r="S1005"/>
      <c r="T1005"/>
      <c r="U1005"/>
    </row>
    <row r="1006" spans="12:21" s="1" customFormat="1">
      <c r="L1006"/>
      <c r="M1006"/>
      <c r="N1006"/>
      <c r="O1006"/>
      <c r="P1006"/>
      <c r="Q1006"/>
      <c r="R1006"/>
      <c r="S1006"/>
      <c r="T1006"/>
      <c r="U1006"/>
    </row>
    <row r="1007" spans="12:21" s="1" customFormat="1">
      <c r="L1007"/>
      <c r="M1007"/>
      <c r="N1007"/>
      <c r="O1007"/>
      <c r="P1007"/>
      <c r="Q1007"/>
      <c r="R1007"/>
      <c r="S1007"/>
      <c r="T1007"/>
      <c r="U1007"/>
    </row>
    <row r="1008" spans="12:21" s="1" customFormat="1">
      <c r="L1008"/>
      <c r="M1008"/>
      <c r="N1008"/>
      <c r="O1008"/>
      <c r="P1008"/>
      <c r="Q1008"/>
      <c r="R1008"/>
      <c r="S1008"/>
      <c r="T1008"/>
      <c r="U1008"/>
    </row>
    <row r="1009" spans="12:21" s="1" customFormat="1">
      <c r="L1009"/>
      <c r="M1009"/>
      <c r="N1009"/>
      <c r="O1009"/>
      <c r="P1009"/>
      <c r="Q1009"/>
      <c r="R1009"/>
      <c r="S1009"/>
      <c r="T1009"/>
      <c r="U1009"/>
    </row>
    <row r="1010" spans="12:21" s="1" customFormat="1">
      <c r="L1010"/>
      <c r="M1010"/>
      <c r="N1010"/>
      <c r="O1010"/>
      <c r="P1010"/>
      <c r="Q1010"/>
      <c r="R1010"/>
      <c r="S1010"/>
      <c r="T1010"/>
      <c r="U1010"/>
    </row>
    <row r="1011" spans="12:21" s="1" customFormat="1">
      <c r="L1011"/>
      <c r="M1011"/>
      <c r="N1011"/>
      <c r="O1011"/>
      <c r="P1011"/>
      <c r="Q1011"/>
      <c r="R1011"/>
      <c r="S1011"/>
      <c r="T1011"/>
      <c r="U1011"/>
    </row>
    <row r="1012" spans="12:21" s="1" customFormat="1">
      <c r="L1012"/>
      <c r="M1012"/>
      <c r="N1012"/>
      <c r="O1012"/>
      <c r="P1012"/>
      <c r="Q1012"/>
      <c r="R1012"/>
      <c r="S1012"/>
      <c r="T1012"/>
      <c r="U1012"/>
    </row>
    <row r="1013" spans="12:21" s="1" customFormat="1">
      <c r="L1013"/>
      <c r="M1013"/>
      <c r="N1013"/>
      <c r="O1013"/>
      <c r="P1013"/>
      <c r="Q1013"/>
      <c r="R1013"/>
      <c r="S1013"/>
      <c r="T1013"/>
      <c r="U1013"/>
    </row>
    <row r="1014" spans="12:21" s="1" customFormat="1">
      <c r="L1014"/>
      <c r="M1014"/>
      <c r="N1014"/>
      <c r="O1014"/>
      <c r="P1014"/>
      <c r="Q1014"/>
      <c r="R1014"/>
      <c r="S1014"/>
      <c r="T1014"/>
      <c r="U1014"/>
    </row>
    <row r="1015" spans="12:21" s="1" customFormat="1">
      <c r="L1015"/>
      <c r="M1015"/>
      <c r="N1015"/>
      <c r="O1015"/>
      <c r="P1015"/>
      <c r="Q1015"/>
      <c r="R1015"/>
      <c r="S1015"/>
      <c r="T1015"/>
      <c r="U1015"/>
    </row>
    <row r="1016" spans="12:21" s="1" customFormat="1">
      <c r="L1016"/>
      <c r="M1016"/>
      <c r="N1016"/>
      <c r="O1016"/>
      <c r="P1016"/>
      <c r="Q1016"/>
      <c r="R1016"/>
      <c r="S1016"/>
      <c r="T1016"/>
      <c r="U1016"/>
    </row>
    <row r="1017" spans="12:21" s="1" customFormat="1">
      <c r="L1017"/>
      <c r="M1017"/>
      <c r="N1017"/>
      <c r="O1017"/>
      <c r="P1017"/>
      <c r="Q1017"/>
      <c r="R1017"/>
      <c r="S1017"/>
      <c r="T1017"/>
      <c r="U1017"/>
    </row>
    <row r="1018" spans="12:21" s="1" customFormat="1">
      <c r="L1018"/>
      <c r="M1018"/>
      <c r="N1018"/>
      <c r="O1018"/>
      <c r="P1018"/>
      <c r="Q1018"/>
      <c r="R1018"/>
      <c r="S1018"/>
      <c r="T1018"/>
      <c r="U1018"/>
    </row>
    <row r="1019" spans="12:21" s="1" customFormat="1">
      <c r="L1019"/>
      <c r="M1019"/>
      <c r="N1019"/>
      <c r="O1019"/>
      <c r="P1019"/>
      <c r="Q1019"/>
      <c r="R1019"/>
      <c r="S1019"/>
      <c r="T1019"/>
      <c r="U1019"/>
    </row>
    <row r="1020" spans="12:21" s="1" customFormat="1">
      <c r="L1020"/>
      <c r="M1020"/>
      <c r="N1020"/>
      <c r="O1020"/>
      <c r="P1020"/>
      <c r="Q1020"/>
      <c r="R1020"/>
      <c r="S1020"/>
      <c r="T1020"/>
      <c r="U1020"/>
    </row>
    <row r="1021" spans="12:21" s="1" customFormat="1">
      <c r="L1021"/>
      <c r="M1021"/>
      <c r="N1021"/>
      <c r="O1021"/>
      <c r="P1021"/>
      <c r="Q1021"/>
      <c r="R1021"/>
      <c r="S1021"/>
      <c r="T1021"/>
      <c r="U1021"/>
    </row>
    <row r="1022" spans="12:21" s="1" customFormat="1">
      <c r="L1022"/>
      <c r="M1022"/>
      <c r="N1022"/>
      <c r="O1022"/>
      <c r="P1022"/>
      <c r="Q1022"/>
      <c r="R1022"/>
      <c r="S1022"/>
      <c r="T1022"/>
      <c r="U1022"/>
    </row>
    <row r="1023" spans="12:21" s="1" customFormat="1">
      <c r="L1023"/>
      <c r="M1023"/>
      <c r="N1023"/>
      <c r="O1023"/>
      <c r="P1023"/>
      <c r="Q1023"/>
      <c r="R1023"/>
      <c r="S1023"/>
      <c r="T1023"/>
      <c r="U1023"/>
    </row>
    <row r="1024" spans="12:21" s="1" customFormat="1">
      <c r="L1024"/>
      <c r="M1024"/>
      <c r="N1024"/>
      <c r="O1024"/>
      <c r="P1024"/>
      <c r="Q1024"/>
      <c r="R1024"/>
      <c r="S1024"/>
      <c r="T1024"/>
      <c r="U1024"/>
    </row>
    <row r="1025" spans="12:21" s="1" customFormat="1">
      <c r="L1025"/>
      <c r="M1025"/>
      <c r="N1025"/>
      <c r="O1025"/>
      <c r="P1025"/>
      <c r="Q1025"/>
      <c r="R1025"/>
      <c r="S1025"/>
      <c r="T1025"/>
      <c r="U1025"/>
    </row>
    <row r="1026" spans="12:21" s="1" customFormat="1">
      <c r="L1026"/>
      <c r="M1026"/>
      <c r="N1026"/>
      <c r="O1026"/>
      <c r="P1026"/>
      <c r="Q1026"/>
      <c r="R1026"/>
      <c r="S1026"/>
      <c r="T1026"/>
      <c r="U1026"/>
    </row>
    <row r="1027" spans="12:21" s="1" customFormat="1">
      <c r="L1027"/>
      <c r="M1027"/>
      <c r="N1027"/>
      <c r="O1027"/>
      <c r="P1027"/>
      <c r="Q1027"/>
      <c r="R1027"/>
      <c r="S1027"/>
      <c r="T1027"/>
      <c r="U1027"/>
    </row>
    <row r="1028" spans="12:21" s="1" customFormat="1">
      <c r="L1028"/>
      <c r="M1028"/>
      <c r="N1028"/>
      <c r="O1028"/>
      <c r="P1028"/>
      <c r="Q1028"/>
      <c r="R1028"/>
      <c r="S1028"/>
      <c r="T1028"/>
      <c r="U1028"/>
    </row>
    <row r="1029" spans="12:21" s="1" customFormat="1">
      <c r="L1029"/>
      <c r="M1029"/>
      <c r="N1029"/>
      <c r="O1029"/>
      <c r="P1029"/>
      <c r="Q1029"/>
      <c r="R1029"/>
      <c r="S1029"/>
      <c r="T1029"/>
      <c r="U1029"/>
    </row>
    <row r="1030" spans="12:21" s="1" customFormat="1">
      <c r="L1030"/>
      <c r="M1030"/>
      <c r="N1030"/>
      <c r="O1030"/>
      <c r="P1030"/>
      <c r="Q1030"/>
      <c r="R1030"/>
      <c r="S1030"/>
      <c r="T1030"/>
      <c r="U1030"/>
    </row>
    <row r="1031" spans="12:21" s="1" customFormat="1">
      <c r="L1031"/>
      <c r="M1031"/>
      <c r="N1031"/>
      <c r="O1031"/>
      <c r="P1031"/>
      <c r="Q1031"/>
      <c r="R1031"/>
      <c r="S1031"/>
      <c r="T1031"/>
      <c r="U1031"/>
    </row>
    <row r="1032" spans="12:21" s="1" customFormat="1">
      <c r="L1032"/>
      <c r="M1032"/>
      <c r="N1032"/>
      <c r="O1032"/>
      <c r="P1032"/>
      <c r="Q1032"/>
      <c r="R1032"/>
      <c r="S1032"/>
      <c r="T1032"/>
      <c r="U1032"/>
    </row>
    <row r="1033" spans="12:21" s="1" customFormat="1">
      <c r="L1033"/>
      <c r="M1033"/>
      <c r="N1033"/>
      <c r="O1033"/>
      <c r="P1033"/>
      <c r="Q1033"/>
      <c r="R1033"/>
      <c r="S1033"/>
      <c r="T1033"/>
      <c r="U1033"/>
    </row>
    <row r="1034" spans="12:21" s="1" customFormat="1">
      <c r="L1034"/>
      <c r="M1034"/>
      <c r="N1034"/>
      <c r="O1034"/>
      <c r="P1034"/>
      <c r="Q1034"/>
      <c r="R1034"/>
      <c r="S1034"/>
      <c r="T1034"/>
      <c r="U1034"/>
    </row>
    <row r="1035" spans="12:21" s="1" customFormat="1">
      <c r="L1035"/>
      <c r="M1035"/>
      <c r="N1035"/>
      <c r="O1035"/>
      <c r="P1035"/>
      <c r="Q1035"/>
      <c r="R1035"/>
      <c r="S1035"/>
      <c r="T1035"/>
      <c r="U1035"/>
    </row>
    <row r="1036" spans="12:21" s="1" customFormat="1">
      <c r="L1036"/>
      <c r="M1036"/>
      <c r="N1036"/>
      <c r="O1036"/>
      <c r="P1036"/>
      <c r="Q1036"/>
      <c r="R1036"/>
      <c r="S1036"/>
      <c r="T1036"/>
      <c r="U1036"/>
    </row>
    <row r="1037" spans="12:21" s="1" customFormat="1">
      <c r="L1037"/>
      <c r="M1037"/>
      <c r="N1037"/>
      <c r="O1037"/>
      <c r="P1037"/>
      <c r="Q1037"/>
      <c r="R1037"/>
      <c r="S1037"/>
      <c r="T1037"/>
      <c r="U1037"/>
    </row>
    <row r="1038" spans="12:21" s="1" customFormat="1">
      <c r="L1038"/>
      <c r="M1038"/>
      <c r="N1038"/>
      <c r="O1038"/>
      <c r="P1038"/>
      <c r="Q1038"/>
      <c r="R1038"/>
      <c r="S1038"/>
      <c r="T1038"/>
      <c r="U1038"/>
    </row>
    <row r="1039" spans="12:21" s="1" customFormat="1">
      <c r="L1039"/>
      <c r="M1039"/>
      <c r="N1039"/>
      <c r="O1039"/>
      <c r="P1039"/>
      <c r="Q1039"/>
      <c r="R1039"/>
      <c r="S1039"/>
      <c r="T1039"/>
      <c r="U1039"/>
    </row>
    <row r="1040" spans="12:21" s="1" customFormat="1">
      <c r="L1040"/>
      <c r="M1040"/>
      <c r="N1040"/>
      <c r="O1040"/>
      <c r="P1040"/>
      <c r="Q1040"/>
      <c r="R1040"/>
      <c r="S1040"/>
      <c r="T1040"/>
      <c r="U1040"/>
    </row>
    <row r="1041" spans="12:21" s="1" customFormat="1">
      <c r="L1041"/>
      <c r="M1041"/>
      <c r="N1041"/>
      <c r="O1041"/>
      <c r="P1041"/>
      <c r="Q1041"/>
      <c r="R1041"/>
      <c r="S1041"/>
      <c r="T1041"/>
      <c r="U1041"/>
    </row>
    <row r="1042" spans="12:21" s="1" customFormat="1">
      <c r="L1042"/>
      <c r="M1042"/>
      <c r="N1042"/>
      <c r="O1042"/>
      <c r="P1042"/>
      <c r="Q1042"/>
      <c r="R1042"/>
      <c r="S1042"/>
      <c r="T1042"/>
      <c r="U1042"/>
    </row>
    <row r="1043" spans="12:21" s="1" customFormat="1">
      <c r="L1043"/>
      <c r="M1043"/>
      <c r="N1043"/>
      <c r="O1043"/>
      <c r="P1043"/>
      <c r="Q1043"/>
      <c r="R1043"/>
      <c r="S1043"/>
      <c r="T1043"/>
      <c r="U1043"/>
    </row>
    <row r="1044" spans="12:21" s="1" customFormat="1">
      <c r="L1044"/>
      <c r="M1044"/>
      <c r="N1044"/>
      <c r="O1044"/>
      <c r="P1044"/>
      <c r="Q1044"/>
      <c r="R1044"/>
      <c r="S1044"/>
      <c r="T1044"/>
      <c r="U1044"/>
    </row>
    <row r="1045" spans="12:21" s="1" customFormat="1">
      <c r="L1045"/>
      <c r="M1045"/>
      <c r="N1045"/>
      <c r="O1045"/>
      <c r="P1045"/>
      <c r="Q1045"/>
      <c r="R1045"/>
      <c r="S1045"/>
      <c r="T1045"/>
      <c r="U1045"/>
    </row>
    <row r="1046" spans="12:21" s="1" customFormat="1">
      <c r="L1046"/>
      <c r="M1046"/>
      <c r="N1046"/>
      <c r="O1046"/>
      <c r="P1046"/>
      <c r="Q1046"/>
      <c r="R1046"/>
      <c r="S1046"/>
      <c r="T1046"/>
      <c r="U1046"/>
    </row>
    <row r="1047" spans="12:21" s="1" customFormat="1">
      <c r="L1047"/>
      <c r="M1047"/>
      <c r="N1047"/>
      <c r="O1047"/>
      <c r="P1047"/>
      <c r="Q1047"/>
      <c r="R1047"/>
      <c r="S1047"/>
      <c r="T1047"/>
      <c r="U1047"/>
    </row>
    <row r="1048" spans="12:21" s="1" customFormat="1">
      <c r="L1048"/>
      <c r="M1048"/>
      <c r="N1048"/>
      <c r="O1048"/>
      <c r="P1048"/>
      <c r="Q1048"/>
      <c r="R1048"/>
      <c r="S1048"/>
      <c r="T1048"/>
      <c r="U1048"/>
    </row>
    <row r="1049" spans="12:21" s="1" customFormat="1">
      <c r="L1049"/>
      <c r="M1049"/>
      <c r="N1049"/>
      <c r="O1049"/>
      <c r="P1049"/>
      <c r="Q1049"/>
      <c r="R1049"/>
      <c r="S1049"/>
      <c r="T1049"/>
      <c r="U1049"/>
    </row>
    <row r="1050" spans="12:21" s="1" customFormat="1">
      <c r="L1050"/>
      <c r="M1050"/>
      <c r="N1050"/>
      <c r="O1050"/>
      <c r="P1050"/>
      <c r="Q1050"/>
      <c r="R1050"/>
      <c r="S1050"/>
      <c r="T1050"/>
      <c r="U1050"/>
    </row>
    <row r="1051" spans="12:21" s="1" customFormat="1">
      <c r="L1051"/>
      <c r="M1051"/>
      <c r="N1051"/>
      <c r="O1051"/>
      <c r="P1051"/>
      <c r="Q1051"/>
      <c r="R1051"/>
      <c r="S1051"/>
      <c r="T1051"/>
      <c r="U1051"/>
    </row>
    <row r="1052" spans="12:21" s="1" customFormat="1">
      <c r="L1052"/>
      <c r="M1052"/>
      <c r="N1052"/>
      <c r="O1052"/>
      <c r="P1052"/>
      <c r="Q1052"/>
      <c r="R1052"/>
      <c r="S1052"/>
      <c r="T1052"/>
      <c r="U1052"/>
    </row>
    <row r="1053" spans="12:21" s="1" customFormat="1">
      <c r="L1053"/>
      <c r="M1053"/>
      <c r="N1053"/>
      <c r="O1053"/>
      <c r="P1053"/>
      <c r="Q1053"/>
      <c r="R1053"/>
      <c r="S1053"/>
      <c r="T1053"/>
      <c r="U1053"/>
    </row>
    <row r="1054" spans="12:21" s="1" customFormat="1">
      <c r="L1054"/>
      <c r="M1054"/>
      <c r="N1054"/>
      <c r="O1054"/>
      <c r="P1054"/>
      <c r="Q1054"/>
      <c r="R1054"/>
      <c r="S1054"/>
      <c r="T1054"/>
      <c r="U1054"/>
    </row>
    <row r="1055" spans="12:21" s="1" customFormat="1">
      <c r="L1055"/>
      <c r="M1055"/>
      <c r="N1055"/>
      <c r="O1055"/>
      <c r="P1055"/>
      <c r="Q1055"/>
      <c r="R1055"/>
      <c r="S1055"/>
      <c r="T1055"/>
      <c r="U1055"/>
    </row>
    <row r="1056" spans="12:21" s="1" customFormat="1">
      <c r="L1056"/>
      <c r="M1056"/>
      <c r="N1056"/>
      <c r="O1056"/>
      <c r="P1056"/>
      <c r="Q1056"/>
      <c r="R1056"/>
      <c r="S1056"/>
      <c r="T1056"/>
      <c r="U1056"/>
    </row>
    <row r="1057" spans="12:21" s="1" customFormat="1">
      <c r="L1057"/>
      <c r="M1057"/>
      <c r="N1057"/>
      <c r="O1057"/>
      <c r="P1057"/>
      <c r="Q1057"/>
      <c r="R1057"/>
      <c r="S1057"/>
      <c r="T1057"/>
      <c r="U1057"/>
    </row>
    <row r="1058" spans="12:21" s="1" customFormat="1">
      <c r="L1058"/>
      <c r="M1058"/>
      <c r="N1058"/>
      <c r="O1058"/>
      <c r="P1058"/>
      <c r="Q1058"/>
      <c r="R1058"/>
      <c r="S1058"/>
      <c r="T1058"/>
      <c r="U1058"/>
    </row>
    <row r="1059" spans="12:21" s="1" customFormat="1">
      <c r="L1059"/>
      <c r="M1059"/>
      <c r="N1059"/>
      <c r="O1059"/>
      <c r="P1059"/>
      <c r="Q1059"/>
      <c r="R1059"/>
      <c r="S1059"/>
      <c r="T1059"/>
      <c r="U1059"/>
    </row>
    <row r="1060" spans="12:21" s="1" customFormat="1">
      <c r="L1060"/>
      <c r="M1060"/>
      <c r="N1060"/>
      <c r="O1060"/>
      <c r="P1060"/>
      <c r="Q1060"/>
      <c r="R1060"/>
      <c r="S1060"/>
      <c r="T1060"/>
      <c r="U1060"/>
    </row>
    <row r="1061" spans="12:21" s="1" customFormat="1">
      <c r="L1061"/>
      <c r="M1061"/>
      <c r="N1061"/>
      <c r="O1061"/>
      <c r="P1061"/>
      <c r="Q1061"/>
      <c r="R1061"/>
      <c r="S1061"/>
      <c r="T1061"/>
      <c r="U1061"/>
    </row>
    <row r="1062" spans="12:21" s="1" customFormat="1">
      <c r="L1062"/>
      <c r="M1062"/>
      <c r="N1062"/>
      <c r="O1062"/>
      <c r="P1062"/>
      <c r="Q1062"/>
      <c r="R1062"/>
      <c r="S1062"/>
      <c r="T1062"/>
      <c r="U1062"/>
    </row>
    <row r="1063" spans="12:21" s="1" customFormat="1">
      <c r="L1063"/>
      <c r="M1063"/>
      <c r="N1063"/>
      <c r="O1063"/>
      <c r="P1063"/>
      <c r="Q1063"/>
      <c r="R1063"/>
      <c r="S1063"/>
      <c r="T1063"/>
      <c r="U1063"/>
    </row>
    <row r="1064" spans="12:21" s="1" customFormat="1">
      <c r="L1064"/>
      <c r="M1064"/>
      <c r="N1064"/>
      <c r="O1064"/>
      <c r="P1064"/>
      <c r="Q1064"/>
      <c r="R1064"/>
      <c r="S1064"/>
      <c r="T1064"/>
      <c r="U1064"/>
    </row>
    <row r="1065" spans="12:21" s="1" customFormat="1">
      <c r="L1065"/>
      <c r="M1065"/>
      <c r="N1065"/>
      <c r="O1065"/>
      <c r="P1065"/>
      <c r="Q1065"/>
      <c r="R1065"/>
      <c r="S1065"/>
      <c r="T1065"/>
      <c r="U1065"/>
    </row>
    <row r="1066" spans="12:21" s="1" customFormat="1">
      <c r="L1066"/>
      <c r="M1066"/>
      <c r="N1066"/>
      <c r="O1066"/>
      <c r="P1066"/>
      <c r="Q1066"/>
      <c r="R1066"/>
      <c r="S1066"/>
      <c r="T1066"/>
      <c r="U1066"/>
    </row>
    <row r="1067" spans="12:21" s="1" customFormat="1">
      <c r="L1067"/>
      <c r="M1067"/>
      <c r="N1067"/>
      <c r="O1067"/>
      <c r="P1067"/>
      <c r="Q1067"/>
      <c r="R1067"/>
      <c r="S1067"/>
      <c r="T1067"/>
      <c r="U1067"/>
    </row>
    <row r="1068" spans="12:21" s="1" customFormat="1">
      <c r="L1068"/>
      <c r="M1068"/>
      <c r="N1068"/>
      <c r="O1068"/>
      <c r="P1068"/>
      <c r="Q1068"/>
      <c r="R1068"/>
      <c r="S1068"/>
      <c r="T1068"/>
      <c r="U1068"/>
    </row>
    <row r="1069" spans="12:21" s="1" customFormat="1">
      <c r="L1069"/>
      <c r="M1069"/>
      <c r="N1069"/>
      <c r="O1069"/>
      <c r="P1069"/>
      <c r="Q1069"/>
      <c r="R1069"/>
      <c r="S1069"/>
      <c r="T1069"/>
      <c r="U1069"/>
    </row>
    <row r="1070" spans="12:21" s="1" customFormat="1">
      <c r="L1070"/>
      <c r="M1070"/>
      <c r="N1070"/>
      <c r="O1070"/>
      <c r="P1070"/>
      <c r="Q1070"/>
      <c r="R1070"/>
      <c r="S1070"/>
      <c r="T1070"/>
      <c r="U1070"/>
    </row>
    <row r="1071" spans="12:21" s="1" customFormat="1">
      <c r="L1071"/>
      <c r="M1071"/>
      <c r="N1071"/>
      <c r="O1071"/>
      <c r="P1071"/>
      <c r="Q1071"/>
      <c r="R1071"/>
      <c r="S1071"/>
      <c r="T1071"/>
      <c r="U1071"/>
    </row>
    <row r="1072" spans="12:21" s="1" customFormat="1">
      <c r="L1072"/>
      <c r="M1072"/>
      <c r="N1072"/>
      <c r="O1072"/>
      <c r="P1072"/>
      <c r="Q1072"/>
      <c r="R1072"/>
      <c r="S1072"/>
      <c r="T1072"/>
      <c r="U1072"/>
    </row>
    <row r="1073" spans="12:21" s="1" customFormat="1">
      <c r="L1073"/>
      <c r="M1073"/>
      <c r="N1073"/>
      <c r="O1073"/>
      <c r="P1073"/>
      <c r="Q1073"/>
      <c r="R1073"/>
      <c r="S1073"/>
      <c r="T1073"/>
      <c r="U1073"/>
    </row>
    <row r="1074" spans="12:21" s="1" customFormat="1">
      <c r="L1074"/>
      <c r="M1074"/>
      <c r="N1074"/>
      <c r="O1074"/>
      <c r="P1074"/>
      <c r="Q1074"/>
      <c r="R1074"/>
      <c r="S1074"/>
      <c r="T1074"/>
      <c r="U1074"/>
    </row>
    <row r="1075" spans="12:21" s="1" customFormat="1">
      <c r="L1075"/>
      <c r="M1075"/>
      <c r="N1075"/>
      <c r="O1075"/>
      <c r="P1075"/>
      <c r="Q1075"/>
      <c r="R1075"/>
      <c r="S1075"/>
      <c r="T1075"/>
      <c r="U1075"/>
    </row>
    <row r="1076" spans="12:21" s="1" customFormat="1">
      <c r="L1076"/>
      <c r="M1076"/>
      <c r="N1076"/>
      <c r="O1076"/>
      <c r="P1076"/>
      <c r="Q1076"/>
      <c r="R1076"/>
      <c r="S1076"/>
      <c r="T1076"/>
      <c r="U1076"/>
    </row>
    <row r="1077" spans="12:21" s="1" customFormat="1">
      <c r="L1077"/>
      <c r="M1077"/>
      <c r="N1077"/>
      <c r="O1077"/>
      <c r="P1077"/>
      <c r="Q1077"/>
      <c r="R1077"/>
      <c r="S1077"/>
      <c r="T1077"/>
      <c r="U1077"/>
    </row>
    <row r="1078" spans="12:21" s="1" customFormat="1">
      <c r="L1078"/>
      <c r="M1078"/>
      <c r="N1078"/>
      <c r="O1078"/>
      <c r="P1078"/>
      <c r="Q1078"/>
      <c r="R1078"/>
      <c r="S1078"/>
      <c r="T1078"/>
      <c r="U1078"/>
    </row>
    <row r="1079" spans="12:21" s="1" customFormat="1">
      <c r="L1079"/>
      <c r="M1079"/>
      <c r="N1079"/>
      <c r="O1079"/>
      <c r="P1079"/>
      <c r="Q1079"/>
      <c r="R1079"/>
      <c r="S1079"/>
      <c r="T1079"/>
      <c r="U1079"/>
    </row>
    <row r="1080" spans="12:21" s="1" customFormat="1">
      <c r="L1080"/>
      <c r="M1080"/>
      <c r="N1080"/>
      <c r="O1080"/>
      <c r="P1080"/>
      <c r="Q1080"/>
      <c r="R1080"/>
      <c r="S1080"/>
      <c r="T1080"/>
      <c r="U1080"/>
    </row>
    <row r="1081" spans="12:21" s="1" customFormat="1">
      <c r="L1081"/>
      <c r="M1081"/>
      <c r="N1081"/>
      <c r="O1081"/>
      <c r="P1081"/>
      <c r="Q1081"/>
      <c r="R1081"/>
      <c r="S1081"/>
      <c r="T1081"/>
      <c r="U1081"/>
    </row>
    <row r="1082" spans="12:21" s="1" customFormat="1">
      <c r="L1082"/>
      <c r="M1082"/>
      <c r="N1082"/>
      <c r="O1082"/>
      <c r="P1082"/>
      <c r="Q1082"/>
      <c r="R1082"/>
      <c r="S1082"/>
      <c r="T1082"/>
      <c r="U1082"/>
    </row>
    <row r="1083" spans="12:21" s="1" customFormat="1">
      <c r="L1083"/>
      <c r="M1083"/>
      <c r="N1083"/>
      <c r="O1083"/>
      <c r="P1083"/>
      <c r="Q1083"/>
      <c r="R1083"/>
      <c r="S1083"/>
      <c r="T1083"/>
      <c r="U1083"/>
    </row>
    <row r="1084" spans="12:21" s="1" customFormat="1">
      <c r="L1084"/>
      <c r="M1084"/>
      <c r="N1084"/>
      <c r="O1084"/>
      <c r="P1084"/>
      <c r="Q1084"/>
      <c r="R1084"/>
      <c r="S1084"/>
      <c r="T1084"/>
      <c r="U1084"/>
    </row>
    <row r="1085" spans="12:21" s="1" customFormat="1">
      <c r="L1085"/>
      <c r="M1085"/>
      <c r="N1085"/>
      <c r="O1085"/>
      <c r="P1085"/>
      <c r="Q1085"/>
      <c r="R1085"/>
      <c r="S1085"/>
      <c r="T1085"/>
      <c r="U1085"/>
    </row>
    <row r="1086" spans="12:21" s="1" customFormat="1">
      <c r="L1086"/>
      <c r="M1086"/>
      <c r="N1086"/>
      <c r="O1086"/>
      <c r="P1086"/>
      <c r="Q1086"/>
      <c r="R1086"/>
      <c r="S1086"/>
      <c r="T1086"/>
      <c r="U1086"/>
    </row>
    <row r="1087" spans="12:21" s="1" customFormat="1">
      <c r="L1087"/>
      <c r="M1087"/>
      <c r="N1087"/>
      <c r="O1087"/>
      <c r="P1087"/>
      <c r="Q1087"/>
      <c r="R1087"/>
      <c r="S1087"/>
      <c r="T1087"/>
      <c r="U1087"/>
    </row>
    <row r="1088" spans="12:21" s="1" customFormat="1">
      <c r="L1088"/>
      <c r="M1088"/>
      <c r="N1088"/>
      <c r="O1088"/>
      <c r="P1088"/>
      <c r="Q1088"/>
      <c r="R1088"/>
      <c r="S1088"/>
      <c r="T1088"/>
      <c r="U1088"/>
    </row>
    <row r="1089" spans="12:21" s="1" customFormat="1">
      <c r="L1089"/>
      <c r="M1089"/>
      <c r="N1089"/>
      <c r="O1089"/>
      <c r="P1089"/>
      <c r="Q1089"/>
      <c r="R1089"/>
      <c r="S1089"/>
      <c r="T1089"/>
      <c r="U1089"/>
    </row>
    <row r="1090" spans="12:21" s="1" customFormat="1">
      <c r="L1090"/>
      <c r="M1090"/>
      <c r="N1090"/>
      <c r="O1090"/>
      <c r="P1090"/>
      <c r="Q1090"/>
      <c r="R1090"/>
      <c r="S1090"/>
      <c r="T1090"/>
      <c r="U1090"/>
    </row>
    <row r="1091" spans="12:21" s="1" customFormat="1">
      <c r="L1091"/>
      <c r="M1091"/>
      <c r="N1091"/>
      <c r="O1091"/>
      <c r="P1091"/>
      <c r="Q1091"/>
      <c r="R1091"/>
      <c r="S1091"/>
      <c r="T1091"/>
      <c r="U1091"/>
    </row>
    <row r="1092" spans="12:21" s="1" customFormat="1">
      <c r="L1092"/>
      <c r="M1092"/>
      <c r="N1092"/>
      <c r="O1092"/>
      <c r="P1092"/>
      <c r="Q1092"/>
      <c r="R1092"/>
      <c r="S1092"/>
      <c r="T1092"/>
      <c r="U1092"/>
    </row>
    <row r="1093" spans="12:21" s="1" customFormat="1">
      <c r="L1093"/>
      <c r="M1093"/>
      <c r="N1093"/>
      <c r="O1093"/>
      <c r="P1093"/>
      <c r="Q1093"/>
      <c r="R1093"/>
      <c r="S1093"/>
      <c r="T1093"/>
      <c r="U1093"/>
    </row>
    <row r="1094" spans="12:21" s="1" customFormat="1">
      <c r="L1094"/>
      <c r="M1094"/>
      <c r="N1094"/>
      <c r="O1094"/>
      <c r="P1094"/>
      <c r="Q1094"/>
      <c r="R1094"/>
      <c r="S1094"/>
      <c r="T1094"/>
      <c r="U1094"/>
    </row>
    <row r="1095" spans="12:21" s="1" customFormat="1">
      <c r="L1095"/>
      <c r="M1095"/>
      <c r="N1095"/>
      <c r="O1095"/>
      <c r="P1095"/>
      <c r="Q1095"/>
      <c r="R1095"/>
      <c r="S1095"/>
      <c r="T1095"/>
      <c r="U1095"/>
    </row>
    <row r="1096" spans="12:21" s="1" customFormat="1">
      <c r="L1096"/>
      <c r="M1096"/>
      <c r="N1096"/>
      <c r="O1096"/>
      <c r="P1096"/>
      <c r="Q1096"/>
      <c r="R1096"/>
      <c r="S1096"/>
      <c r="T1096"/>
      <c r="U1096"/>
    </row>
    <row r="1097" spans="12:21" s="1" customFormat="1">
      <c r="L1097"/>
      <c r="M1097"/>
      <c r="N1097"/>
      <c r="O1097"/>
      <c r="P1097"/>
      <c r="Q1097"/>
      <c r="R1097"/>
      <c r="S1097"/>
      <c r="T1097"/>
      <c r="U1097"/>
    </row>
    <row r="1098" spans="12:21" s="1" customFormat="1">
      <c r="L1098"/>
      <c r="M1098"/>
      <c r="N1098"/>
      <c r="O1098"/>
      <c r="P1098"/>
      <c r="Q1098"/>
      <c r="R1098"/>
      <c r="S1098"/>
      <c r="T1098"/>
      <c r="U1098"/>
    </row>
    <row r="1099" spans="12:21" s="1" customFormat="1">
      <c r="L1099"/>
      <c r="M1099"/>
      <c r="N1099"/>
      <c r="O1099"/>
      <c r="P1099"/>
      <c r="Q1099"/>
      <c r="R1099"/>
      <c r="S1099"/>
      <c r="T1099"/>
      <c r="U1099"/>
    </row>
    <row r="1100" spans="12:21" s="1" customFormat="1">
      <c r="L1100"/>
      <c r="M1100"/>
      <c r="N1100"/>
      <c r="O1100"/>
      <c r="P1100"/>
      <c r="Q1100"/>
      <c r="R1100"/>
      <c r="S1100"/>
      <c r="T1100"/>
      <c r="U1100"/>
    </row>
    <row r="1101" spans="12:21" s="1" customFormat="1">
      <c r="L1101"/>
      <c r="M1101"/>
      <c r="N1101"/>
      <c r="O1101"/>
      <c r="P1101"/>
      <c r="Q1101"/>
      <c r="R1101"/>
      <c r="S1101"/>
      <c r="T1101"/>
      <c r="U1101"/>
    </row>
    <row r="1102" spans="12:21" s="1" customFormat="1">
      <c r="L1102"/>
      <c r="M1102"/>
      <c r="N1102"/>
      <c r="O1102"/>
      <c r="P1102"/>
      <c r="Q1102"/>
      <c r="R1102"/>
      <c r="S1102"/>
      <c r="T1102"/>
      <c r="U1102"/>
    </row>
    <row r="1103" spans="12:21" s="1" customFormat="1">
      <c r="L1103"/>
      <c r="M1103"/>
      <c r="N1103"/>
      <c r="O1103"/>
      <c r="P1103"/>
      <c r="Q1103"/>
      <c r="R1103"/>
      <c r="S1103"/>
      <c r="T1103"/>
      <c r="U1103"/>
    </row>
    <row r="1104" spans="12:21" s="1" customFormat="1">
      <c r="L1104"/>
      <c r="M1104"/>
      <c r="N1104"/>
      <c r="O1104"/>
      <c r="P1104"/>
      <c r="Q1104"/>
      <c r="R1104"/>
      <c r="S1104"/>
      <c r="T1104"/>
      <c r="U1104"/>
    </row>
    <row r="1105" spans="12:21" s="1" customFormat="1">
      <c r="L1105"/>
      <c r="M1105"/>
      <c r="N1105"/>
      <c r="O1105"/>
      <c r="P1105"/>
      <c r="Q1105"/>
      <c r="R1105"/>
      <c r="S1105"/>
      <c r="T1105"/>
      <c r="U1105"/>
    </row>
    <row r="1106" spans="12:21" s="1" customFormat="1">
      <c r="L1106"/>
      <c r="M1106"/>
      <c r="N1106"/>
      <c r="O1106"/>
      <c r="P1106"/>
      <c r="Q1106"/>
      <c r="R1106"/>
      <c r="S1106"/>
      <c r="T1106"/>
      <c r="U1106"/>
    </row>
    <row r="1107" spans="12:21" s="1" customFormat="1">
      <c r="L1107"/>
      <c r="M1107"/>
      <c r="N1107"/>
      <c r="O1107"/>
      <c r="P1107"/>
      <c r="Q1107"/>
      <c r="R1107"/>
      <c r="S1107"/>
      <c r="T1107"/>
      <c r="U1107"/>
    </row>
    <row r="1108" spans="12:21" s="1" customFormat="1">
      <c r="L1108"/>
      <c r="M1108"/>
      <c r="N1108"/>
      <c r="O1108"/>
      <c r="P1108"/>
      <c r="Q1108"/>
      <c r="R1108"/>
      <c r="S1108"/>
      <c r="T1108"/>
      <c r="U1108"/>
    </row>
    <row r="1109" spans="12:21" s="1" customFormat="1">
      <c r="L1109"/>
      <c r="M1109"/>
      <c r="N1109"/>
      <c r="O1109"/>
      <c r="P1109"/>
      <c r="Q1109"/>
      <c r="R1109"/>
      <c r="S1109"/>
      <c r="T1109"/>
      <c r="U1109"/>
    </row>
    <row r="1110" spans="12:21" s="1" customFormat="1">
      <c r="L1110"/>
      <c r="M1110"/>
      <c r="N1110"/>
      <c r="O1110"/>
      <c r="P1110"/>
      <c r="Q1110"/>
      <c r="R1110"/>
      <c r="S1110"/>
      <c r="T1110"/>
      <c r="U1110"/>
    </row>
    <row r="1111" spans="12:21" s="1" customFormat="1">
      <c r="L1111"/>
      <c r="M1111"/>
      <c r="N1111"/>
      <c r="O1111"/>
      <c r="P1111"/>
      <c r="Q1111"/>
      <c r="R1111"/>
      <c r="S1111"/>
      <c r="T1111"/>
      <c r="U1111"/>
    </row>
    <row r="1112" spans="12:21" s="1" customFormat="1">
      <c r="L1112"/>
      <c r="M1112"/>
      <c r="N1112"/>
      <c r="O1112"/>
      <c r="P1112"/>
      <c r="Q1112"/>
      <c r="R1112"/>
      <c r="S1112"/>
      <c r="T1112"/>
      <c r="U1112"/>
    </row>
    <row r="1113" spans="12:21" s="1" customFormat="1">
      <c r="L1113"/>
      <c r="M1113"/>
      <c r="N1113"/>
      <c r="O1113"/>
      <c r="P1113"/>
      <c r="Q1113"/>
      <c r="R1113"/>
      <c r="S1113"/>
      <c r="T1113"/>
      <c r="U1113"/>
    </row>
    <row r="1114" spans="12:21" s="1" customFormat="1">
      <c r="L1114"/>
      <c r="M1114"/>
      <c r="N1114"/>
      <c r="O1114"/>
      <c r="P1114"/>
      <c r="Q1114"/>
      <c r="R1114"/>
      <c r="S1114"/>
      <c r="T1114"/>
      <c r="U1114"/>
    </row>
    <row r="1115" spans="12:21" s="1" customFormat="1">
      <c r="L1115"/>
      <c r="M1115"/>
      <c r="N1115"/>
      <c r="O1115"/>
      <c r="P1115"/>
      <c r="Q1115"/>
      <c r="R1115"/>
      <c r="S1115"/>
      <c r="T1115"/>
      <c r="U1115"/>
    </row>
    <row r="1116" spans="12:21" s="1" customFormat="1">
      <c r="L1116"/>
      <c r="M1116"/>
      <c r="N1116"/>
      <c r="O1116"/>
      <c r="P1116"/>
      <c r="Q1116"/>
      <c r="R1116"/>
      <c r="S1116"/>
      <c r="T1116"/>
      <c r="U1116"/>
    </row>
    <row r="1117" spans="12:21" s="1" customFormat="1">
      <c r="L1117"/>
      <c r="M1117"/>
      <c r="N1117"/>
      <c r="O1117"/>
      <c r="P1117"/>
      <c r="Q1117"/>
      <c r="R1117"/>
      <c r="S1117"/>
      <c r="T1117"/>
      <c r="U1117"/>
    </row>
    <row r="1118" spans="12:21" s="1" customFormat="1">
      <c r="L1118"/>
      <c r="M1118"/>
      <c r="N1118"/>
      <c r="O1118"/>
      <c r="P1118"/>
      <c r="Q1118"/>
      <c r="R1118"/>
      <c r="S1118"/>
      <c r="T1118"/>
      <c r="U1118"/>
    </row>
    <row r="1119" spans="12:21" s="1" customFormat="1">
      <c r="L1119"/>
      <c r="M1119"/>
      <c r="N1119"/>
      <c r="O1119"/>
      <c r="P1119"/>
      <c r="Q1119"/>
      <c r="R1119"/>
      <c r="S1119"/>
      <c r="T1119"/>
      <c r="U1119"/>
    </row>
    <row r="1120" spans="12:21" s="1" customFormat="1">
      <c r="L1120"/>
      <c r="M1120"/>
      <c r="N1120"/>
      <c r="O1120"/>
      <c r="P1120"/>
      <c r="Q1120"/>
      <c r="R1120"/>
      <c r="S1120"/>
      <c r="T1120"/>
      <c r="U1120"/>
    </row>
    <row r="1121" spans="12:21" s="1" customFormat="1">
      <c r="L1121"/>
      <c r="M1121"/>
      <c r="N1121"/>
      <c r="O1121"/>
      <c r="P1121"/>
      <c r="Q1121"/>
      <c r="R1121"/>
      <c r="S1121"/>
      <c r="T1121"/>
      <c r="U1121"/>
    </row>
    <row r="1122" spans="12:21" s="1" customFormat="1">
      <c r="L1122"/>
      <c r="M1122"/>
      <c r="N1122"/>
      <c r="O1122"/>
      <c r="P1122"/>
      <c r="Q1122"/>
      <c r="R1122"/>
      <c r="S1122"/>
      <c r="T1122"/>
      <c r="U1122"/>
    </row>
    <row r="1123" spans="12:21" s="1" customFormat="1">
      <c r="L1123"/>
      <c r="M1123"/>
      <c r="N1123"/>
      <c r="O1123"/>
      <c r="P1123"/>
      <c r="Q1123"/>
      <c r="R1123"/>
      <c r="S1123"/>
      <c r="T1123"/>
      <c r="U1123"/>
    </row>
    <row r="1124" spans="12:21" s="1" customFormat="1">
      <c r="L1124"/>
      <c r="M1124"/>
      <c r="N1124"/>
      <c r="O1124"/>
      <c r="P1124"/>
      <c r="Q1124"/>
      <c r="R1124"/>
      <c r="S1124"/>
      <c r="T1124"/>
      <c r="U1124"/>
    </row>
    <row r="1125" spans="12:21" s="1" customFormat="1">
      <c r="L1125"/>
      <c r="M1125"/>
      <c r="N1125"/>
      <c r="O1125"/>
      <c r="P1125"/>
      <c r="Q1125"/>
      <c r="R1125"/>
      <c r="S1125"/>
      <c r="T1125"/>
      <c r="U1125"/>
    </row>
    <row r="1126" spans="12:21" s="1" customFormat="1">
      <c r="L1126"/>
      <c r="M1126"/>
      <c r="N1126"/>
      <c r="O1126"/>
      <c r="P1126"/>
      <c r="Q1126"/>
      <c r="R1126"/>
      <c r="S1126"/>
      <c r="T1126"/>
      <c r="U1126"/>
    </row>
    <row r="1127" spans="12:21" s="1" customFormat="1">
      <c r="L1127"/>
      <c r="M1127"/>
      <c r="N1127"/>
      <c r="O1127"/>
      <c r="P1127"/>
      <c r="Q1127"/>
      <c r="R1127"/>
      <c r="S1127"/>
      <c r="T1127"/>
      <c r="U1127"/>
    </row>
    <row r="1128" spans="12:21" s="1" customFormat="1">
      <c r="L1128"/>
      <c r="M1128"/>
      <c r="N1128"/>
      <c r="O1128"/>
      <c r="P1128"/>
      <c r="Q1128"/>
      <c r="R1128"/>
      <c r="S1128"/>
      <c r="T1128"/>
      <c r="U1128"/>
    </row>
    <row r="1129" spans="12:21" s="1" customFormat="1">
      <c r="L1129"/>
      <c r="M1129"/>
      <c r="N1129"/>
      <c r="O1129"/>
      <c r="P1129"/>
      <c r="Q1129"/>
      <c r="R1129"/>
      <c r="S1129"/>
      <c r="T1129"/>
      <c r="U1129"/>
    </row>
    <row r="1130" spans="12:21" s="1" customFormat="1">
      <c r="L1130"/>
      <c r="M1130"/>
      <c r="N1130"/>
      <c r="O1130"/>
      <c r="P1130"/>
      <c r="Q1130"/>
      <c r="R1130"/>
      <c r="S1130"/>
      <c r="T1130"/>
      <c r="U1130"/>
    </row>
    <row r="1131" spans="12:21" s="1" customFormat="1">
      <c r="L1131"/>
      <c r="M1131"/>
      <c r="N1131"/>
      <c r="O1131"/>
      <c r="P1131"/>
      <c r="Q1131"/>
      <c r="R1131"/>
      <c r="S1131"/>
      <c r="T1131"/>
      <c r="U1131"/>
    </row>
    <row r="1132" spans="12:21" s="1" customFormat="1">
      <c r="L1132"/>
      <c r="M1132"/>
      <c r="N1132"/>
      <c r="O1132"/>
      <c r="P1132"/>
      <c r="Q1132"/>
      <c r="R1132"/>
      <c r="S1132"/>
      <c r="T1132"/>
      <c r="U1132"/>
    </row>
    <row r="1133" spans="12:21" s="1" customFormat="1">
      <c r="L1133"/>
      <c r="M1133"/>
      <c r="N1133"/>
      <c r="O1133"/>
      <c r="P1133"/>
      <c r="Q1133"/>
      <c r="R1133"/>
      <c r="S1133"/>
      <c r="T1133"/>
      <c r="U1133"/>
    </row>
    <row r="1134" spans="12:21" s="1" customFormat="1">
      <c r="L1134"/>
      <c r="M1134"/>
      <c r="N1134"/>
      <c r="O1134"/>
      <c r="P1134"/>
      <c r="Q1134"/>
      <c r="R1134"/>
      <c r="S1134"/>
      <c r="T1134"/>
      <c r="U1134"/>
    </row>
    <row r="1135" spans="12:21" s="1" customFormat="1">
      <c r="L1135"/>
      <c r="M1135"/>
      <c r="N1135"/>
      <c r="O1135"/>
      <c r="P1135"/>
      <c r="Q1135"/>
      <c r="R1135"/>
      <c r="S1135"/>
      <c r="T1135"/>
      <c r="U1135"/>
    </row>
    <row r="1136" spans="12:21" s="1" customFormat="1">
      <c r="L1136"/>
      <c r="M1136"/>
      <c r="N1136"/>
      <c r="O1136"/>
      <c r="P1136"/>
      <c r="Q1136"/>
      <c r="R1136"/>
      <c r="S1136"/>
      <c r="T1136"/>
      <c r="U1136"/>
    </row>
    <row r="1137" spans="12:21" s="1" customFormat="1">
      <c r="L1137"/>
      <c r="M1137"/>
      <c r="N1137"/>
      <c r="O1137"/>
      <c r="P1137"/>
      <c r="Q1137"/>
      <c r="R1137"/>
      <c r="S1137"/>
      <c r="T1137"/>
      <c r="U1137"/>
    </row>
    <row r="1138" spans="12:21" s="1" customFormat="1">
      <c r="L1138"/>
      <c r="M1138"/>
      <c r="N1138"/>
      <c r="O1138"/>
      <c r="P1138"/>
      <c r="Q1138"/>
      <c r="R1138"/>
      <c r="S1138"/>
      <c r="T1138"/>
      <c r="U1138"/>
    </row>
    <row r="1139" spans="12:21" s="1" customFormat="1">
      <c r="L1139"/>
      <c r="M1139"/>
      <c r="N1139"/>
      <c r="O1139"/>
      <c r="P1139"/>
      <c r="Q1139"/>
      <c r="R1139"/>
      <c r="S1139"/>
      <c r="T1139"/>
      <c r="U1139"/>
    </row>
    <row r="1140" spans="12:21" s="1" customFormat="1">
      <c r="L1140"/>
      <c r="M1140"/>
      <c r="N1140"/>
      <c r="O1140"/>
      <c r="P1140"/>
      <c r="Q1140"/>
      <c r="R1140"/>
      <c r="S1140"/>
      <c r="T1140"/>
      <c r="U1140"/>
    </row>
    <row r="1141" spans="12:21" s="1" customFormat="1">
      <c r="L1141"/>
      <c r="M1141"/>
      <c r="N1141"/>
      <c r="O1141"/>
      <c r="P1141"/>
      <c r="Q1141"/>
      <c r="R1141"/>
      <c r="S1141"/>
      <c r="T1141"/>
      <c r="U1141"/>
    </row>
    <row r="1142" spans="12:21" s="1" customFormat="1">
      <c r="L1142"/>
      <c r="M1142"/>
      <c r="N1142"/>
      <c r="O1142"/>
      <c r="P1142"/>
      <c r="Q1142"/>
      <c r="R1142"/>
      <c r="S1142"/>
      <c r="T1142"/>
      <c r="U1142"/>
    </row>
    <row r="1143" spans="12:21" s="1" customFormat="1">
      <c r="L1143"/>
      <c r="M1143"/>
      <c r="N1143"/>
      <c r="O1143"/>
      <c r="P1143"/>
      <c r="Q1143"/>
      <c r="R1143"/>
      <c r="S1143"/>
      <c r="T1143"/>
      <c r="U1143"/>
    </row>
    <row r="1144" spans="12:21" s="1" customFormat="1">
      <c r="L1144"/>
      <c r="M1144"/>
      <c r="N1144"/>
      <c r="O1144"/>
      <c r="P1144"/>
      <c r="Q1144"/>
      <c r="R1144"/>
      <c r="S1144"/>
      <c r="T1144"/>
      <c r="U1144"/>
    </row>
    <row r="1145" spans="12:21" s="1" customFormat="1">
      <c r="L1145"/>
      <c r="M1145"/>
      <c r="N1145"/>
      <c r="O1145"/>
      <c r="P1145"/>
      <c r="Q1145"/>
      <c r="R1145"/>
      <c r="S1145"/>
      <c r="T1145"/>
      <c r="U1145"/>
    </row>
    <row r="1146" spans="12:21" s="1" customFormat="1">
      <c r="L1146"/>
      <c r="M1146"/>
      <c r="N1146"/>
      <c r="O1146"/>
      <c r="P1146"/>
      <c r="Q1146"/>
      <c r="R1146"/>
      <c r="S1146"/>
      <c r="T1146"/>
      <c r="U1146"/>
    </row>
    <row r="1147" spans="12:21" s="1" customFormat="1">
      <c r="L1147"/>
      <c r="M1147"/>
      <c r="N1147"/>
      <c r="O1147"/>
      <c r="P1147"/>
      <c r="Q1147"/>
      <c r="R1147"/>
      <c r="S1147"/>
      <c r="T1147"/>
      <c r="U1147"/>
    </row>
    <row r="1148" spans="12:21" s="1" customFormat="1">
      <c r="L1148"/>
      <c r="M1148"/>
      <c r="N1148"/>
      <c r="O1148"/>
      <c r="P1148"/>
      <c r="Q1148"/>
      <c r="R1148"/>
      <c r="S1148"/>
      <c r="T1148"/>
      <c r="U1148"/>
    </row>
    <row r="1149" spans="12:21" s="1" customFormat="1">
      <c r="L1149"/>
      <c r="M1149"/>
      <c r="N1149"/>
      <c r="O1149"/>
      <c r="P1149"/>
      <c r="Q1149"/>
      <c r="R1149"/>
      <c r="S1149"/>
      <c r="T1149"/>
      <c r="U1149"/>
    </row>
    <row r="1150" spans="12:21" s="1" customFormat="1">
      <c r="L1150"/>
      <c r="M1150"/>
      <c r="N1150"/>
      <c r="O1150"/>
      <c r="P1150"/>
      <c r="Q1150"/>
      <c r="R1150"/>
      <c r="S1150"/>
      <c r="T1150"/>
      <c r="U1150"/>
    </row>
    <row r="1151" spans="12:21" s="1" customFormat="1">
      <c r="L1151"/>
      <c r="M1151"/>
      <c r="N1151"/>
      <c r="O1151"/>
      <c r="P1151"/>
      <c r="Q1151"/>
      <c r="R1151"/>
      <c r="S1151"/>
      <c r="T1151"/>
      <c r="U1151"/>
    </row>
    <row r="1152" spans="12:21" s="1" customFormat="1">
      <c r="L1152"/>
      <c r="M1152"/>
      <c r="N1152"/>
      <c r="O1152"/>
      <c r="P1152"/>
      <c r="Q1152"/>
      <c r="R1152"/>
      <c r="S1152"/>
      <c r="T1152"/>
      <c r="U1152"/>
    </row>
    <row r="1153" spans="12:21" s="1" customFormat="1">
      <c r="L1153"/>
      <c r="M1153"/>
      <c r="N1153"/>
      <c r="O1153"/>
      <c r="P1153"/>
      <c r="Q1153"/>
      <c r="R1153"/>
      <c r="S1153"/>
      <c r="T1153"/>
      <c r="U1153"/>
    </row>
    <row r="1154" spans="12:21" s="1" customFormat="1">
      <c r="L1154"/>
      <c r="M1154"/>
      <c r="N1154"/>
      <c r="O1154"/>
      <c r="P1154"/>
      <c r="Q1154"/>
      <c r="R1154"/>
      <c r="S1154"/>
      <c r="T1154"/>
      <c r="U1154"/>
    </row>
    <row r="1155" spans="12:21" s="1" customFormat="1">
      <c r="L1155"/>
      <c r="M1155"/>
      <c r="N1155"/>
      <c r="O1155"/>
      <c r="P1155"/>
      <c r="Q1155"/>
      <c r="R1155"/>
      <c r="S1155"/>
      <c r="T1155"/>
      <c r="U1155"/>
    </row>
    <row r="1156" spans="12:21" s="1" customFormat="1">
      <c r="L1156"/>
      <c r="M1156"/>
      <c r="N1156"/>
      <c r="O1156"/>
      <c r="P1156"/>
      <c r="Q1156"/>
      <c r="R1156"/>
      <c r="S1156"/>
      <c r="T1156"/>
      <c r="U1156"/>
    </row>
    <row r="1157" spans="12:21" s="1" customFormat="1">
      <c r="L1157"/>
      <c r="M1157"/>
      <c r="N1157"/>
      <c r="O1157"/>
      <c r="P1157"/>
      <c r="Q1157"/>
      <c r="R1157"/>
      <c r="S1157"/>
      <c r="T1157"/>
      <c r="U1157"/>
    </row>
    <row r="1158" spans="12:21" s="1" customFormat="1">
      <c r="L1158"/>
      <c r="M1158"/>
      <c r="N1158"/>
      <c r="O1158"/>
      <c r="P1158"/>
      <c r="Q1158"/>
      <c r="R1158"/>
      <c r="S1158"/>
      <c r="T1158"/>
      <c r="U1158"/>
    </row>
    <row r="1159" spans="12:21" s="1" customFormat="1">
      <c r="L1159"/>
      <c r="M1159"/>
      <c r="N1159"/>
      <c r="O1159"/>
      <c r="P1159"/>
      <c r="Q1159"/>
      <c r="R1159"/>
      <c r="S1159"/>
      <c r="T1159"/>
      <c r="U1159"/>
    </row>
    <row r="1160" spans="12:21" s="1" customFormat="1">
      <c r="L1160"/>
      <c r="M1160"/>
      <c r="N1160"/>
      <c r="O1160"/>
      <c r="P1160"/>
      <c r="Q1160"/>
      <c r="R1160"/>
      <c r="S1160"/>
      <c r="T1160"/>
      <c r="U1160"/>
    </row>
    <row r="1161" spans="12:21" s="1" customFormat="1">
      <c r="L1161"/>
      <c r="M1161"/>
      <c r="N1161"/>
      <c r="O1161"/>
      <c r="P1161"/>
      <c r="Q1161"/>
      <c r="R1161"/>
      <c r="S1161"/>
      <c r="T1161"/>
      <c r="U1161"/>
    </row>
    <row r="1162" spans="12:21" s="1" customFormat="1">
      <c r="L1162"/>
      <c r="M1162"/>
      <c r="N1162"/>
      <c r="O1162"/>
      <c r="P1162"/>
      <c r="Q1162"/>
      <c r="R1162"/>
      <c r="S1162"/>
      <c r="T1162"/>
      <c r="U1162"/>
    </row>
    <row r="1163" spans="12:21" s="1" customFormat="1">
      <c r="L1163"/>
      <c r="M1163"/>
      <c r="N1163"/>
      <c r="O1163"/>
      <c r="P1163"/>
      <c r="Q1163"/>
      <c r="R1163"/>
      <c r="S1163"/>
      <c r="T1163"/>
      <c r="U1163"/>
    </row>
    <row r="1164" spans="12:21" s="1" customFormat="1">
      <c r="L1164"/>
      <c r="M1164"/>
      <c r="N1164"/>
      <c r="O1164"/>
      <c r="P1164"/>
      <c r="Q1164"/>
      <c r="R1164"/>
      <c r="S1164"/>
      <c r="T1164"/>
      <c r="U1164"/>
    </row>
    <row r="1165" spans="12:21" s="1" customFormat="1">
      <c r="L1165"/>
      <c r="M1165"/>
      <c r="N1165"/>
      <c r="O1165"/>
      <c r="P1165"/>
      <c r="Q1165"/>
      <c r="R1165"/>
      <c r="S1165"/>
      <c r="T1165"/>
      <c r="U1165"/>
    </row>
    <row r="1166" spans="12:21" s="1" customFormat="1">
      <c r="L1166"/>
      <c r="M1166"/>
      <c r="N1166"/>
      <c r="O1166"/>
      <c r="P1166"/>
      <c r="Q1166"/>
      <c r="R1166"/>
      <c r="S1166"/>
      <c r="T1166"/>
      <c r="U1166"/>
    </row>
    <row r="1167" spans="12:21" s="1" customFormat="1">
      <c r="L1167"/>
      <c r="M1167"/>
      <c r="N1167"/>
      <c r="O1167"/>
      <c r="P1167"/>
      <c r="Q1167"/>
      <c r="R1167"/>
      <c r="S1167"/>
      <c r="T1167"/>
      <c r="U1167"/>
    </row>
    <row r="1168" spans="12:21" s="1" customFormat="1">
      <c r="L1168"/>
      <c r="M1168"/>
      <c r="N1168"/>
      <c r="O1168"/>
      <c r="P1168"/>
      <c r="Q1168"/>
      <c r="R1168"/>
      <c r="S1168"/>
      <c r="T1168"/>
      <c r="U1168"/>
    </row>
    <row r="1169" spans="12:21" s="1" customFormat="1">
      <c r="L1169"/>
      <c r="M1169"/>
      <c r="N1169"/>
      <c r="O1169"/>
      <c r="P1169"/>
      <c r="Q1169"/>
      <c r="R1169"/>
      <c r="S1169"/>
      <c r="T1169"/>
      <c r="U1169"/>
    </row>
    <row r="1170" spans="12:21" s="1" customFormat="1">
      <c r="L1170"/>
      <c r="M1170"/>
      <c r="N1170"/>
      <c r="O1170"/>
      <c r="P1170"/>
      <c r="Q1170"/>
      <c r="R1170"/>
      <c r="S1170"/>
      <c r="T1170"/>
      <c r="U1170"/>
    </row>
    <row r="1171" spans="12:21" s="1" customFormat="1">
      <c r="L1171"/>
      <c r="M1171"/>
      <c r="N1171"/>
      <c r="O1171"/>
      <c r="P1171"/>
      <c r="Q1171"/>
      <c r="R1171"/>
      <c r="S1171"/>
      <c r="T1171"/>
      <c r="U1171"/>
    </row>
    <row r="1172" spans="12:21" s="1" customFormat="1">
      <c r="L1172"/>
      <c r="M1172"/>
      <c r="N1172"/>
      <c r="O1172"/>
      <c r="P1172"/>
      <c r="Q1172"/>
      <c r="R1172"/>
      <c r="S1172"/>
      <c r="T1172"/>
      <c r="U1172"/>
    </row>
    <row r="1173" spans="12:21" s="1" customFormat="1">
      <c r="L1173"/>
      <c r="M1173"/>
      <c r="N1173"/>
      <c r="O1173"/>
      <c r="P1173"/>
      <c r="Q1173"/>
      <c r="R1173"/>
      <c r="S1173"/>
      <c r="T1173"/>
      <c r="U1173"/>
    </row>
    <row r="1174" spans="12:21" s="1" customFormat="1">
      <c r="L1174"/>
      <c r="M1174"/>
      <c r="N1174"/>
      <c r="O1174"/>
      <c r="P1174"/>
      <c r="Q1174"/>
      <c r="R1174"/>
      <c r="S1174"/>
      <c r="T1174"/>
      <c r="U1174"/>
    </row>
    <row r="1175" spans="12:21" s="1" customFormat="1">
      <c r="L1175"/>
      <c r="M1175"/>
      <c r="N1175"/>
      <c r="O1175"/>
      <c r="P1175"/>
      <c r="Q1175"/>
      <c r="R1175"/>
      <c r="S1175"/>
      <c r="T1175"/>
      <c r="U1175"/>
    </row>
    <row r="1176" spans="12:21" s="1" customFormat="1">
      <c r="L1176"/>
      <c r="M1176"/>
      <c r="N1176"/>
      <c r="O1176"/>
      <c r="P1176"/>
      <c r="Q1176"/>
      <c r="R1176"/>
      <c r="S1176"/>
      <c r="T1176"/>
      <c r="U1176"/>
    </row>
    <row r="1177" spans="12:21" s="1" customFormat="1">
      <c r="L1177"/>
      <c r="M1177"/>
      <c r="N1177"/>
      <c r="O1177"/>
      <c r="P1177"/>
      <c r="Q1177"/>
      <c r="R1177"/>
      <c r="S1177"/>
      <c r="T1177"/>
      <c r="U1177"/>
    </row>
    <row r="1178" spans="12:21" s="1" customFormat="1">
      <c r="L1178"/>
      <c r="M1178"/>
      <c r="N1178"/>
      <c r="O1178"/>
      <c r="P1178"/>
      <c r="Q1178"/>
      <c r="R1178"/>
      <c r="S1178"/>
      <c r="T1178"/>
      <c r="U1178"/>
    </row>
    <row r="1179" spans="12:21" s="1" customFormat="1">
      <c r="L1179"/>
      <c r="M1179"/>
      <c r="N1179"/>
      <c r="O1179"/>
      <c r="P1179"/>
      <c r="Q1179"/>
      <c r="R1179"/>
      <c r="S1179"/>
      <c r="T1179"/>
      <c r="U1179"/>
    </row>
    <row r="1180" spans="12:21" s="1" customFormat="1">
      <c r="L1180"/>
      <c r="M1180"/>
      <c r="N1180"/>
      <c r="O1180"/>
      <c r="P1180"/>
      <c r="Q1180"/>
      <c r="R1180"/>
      <c r="S1180"/>
      <c r="T1180"/>
      <c r="U1180"/>
    </row>
    <row r="1181" spans="12:21" s="1" customFormat="1">
      <c r="L1181"/>
      <c r="M1181"/>
      <c r="N1181"/>
      <c r="O1181"/>
      <c r="P1181"/>
      <c r="Q1181"/>
      <c r="R1181"/>
      <c r="S1181"/>
      <c r="T1181"/>
      <c r="U1181"/>
    </row>
    <row r="1182" spans="12:21" s="1" customFormat="1">
      <c r="L1182"/>
      <c r="M1182"/>
      <c r="N1182"/>
      <c r="O1182"/>
      <c r="P1182"/>
      <c r="Q1182"/>
      <c r="R1182"/>
      <c r="S1182"/>
      <c r="T1182"/>
      <c r="U1182"/>
    </row>
    <row r="1183" spans="12:21" s="1" customFormat="1">
      <c r="L1183"/>
      <c r="M1183"/>
      <c r="N1183"/>
      <c r="O1183"/>
      <c r="P1183"/>
      <c r="Q1183"/>
      <c r="R1183"/>
      <c r="S1183"/>
      <c r="T1183"/>
      <c r="U1183"/>
    </row>
    <row r="1184" spans="12:21" s="1" customFormat="1">
      <c r="L1184"/>
      <c r="M1184"/>
      <c r="N1184"/>
      <c r="O1184"/>
      <c r="P1184"/>
      <c r="Q1184"/>
      <c r="R1184"/>
      <c r="S1184"/>
      <c r="T1184"/>
      <c r="U1184"/>
    </row>
    <row r="1185" spans="12:21" s="1" customFormat="1">
      <c r="L1185"/>
      <c r="M1185"/>
      <c r="N1185"/>
      <c r="O1185"/>
      <c r="P1185"/>
      <c r="Q1185"/>
      <c r="R1185"/>
      <c r="S1185"/>
      <c r="T1185"/>
      <c r="U1185"/>
    </row>
    <row r="1186" spans="12:21" s="1" customFormat="1">
      <c r="L1186"/>
      <c r="M1186"/>
      <c r="N1186"/>
      <c r="O1186"/>
      <c r="P1186"/>
      <c r="Q1186"/>
      <c r="R1186"/>
      <c r="S1186"/>
      <c r="T1186"/>
      <c r="U1186"/>
    </row>
    <row r="1187" spans="12:21" s="1" customFormat="1">
      <c r="L1187"/>
      <c r="M1187"/>
      <c r="N1187"/>
      <c r="O1187"/>
      <c r="P1187"/>
      <c r="Q1187"/>
      <c r="R1187"/>
      <c r="S1187"/>
      <c r="T1187"/>
      <c r="U1187"/>
    </row>
    <row r="1188" spans="12:21" s="1" customFormat="1">
      <c r="L1188"/>
      <c r="M1188"/>
      <c r="N1188"/>
      <c r="O1188"/>
      <c r="P1188"/>
      <c r="Q1188"/>
      <c r="R1188"/>
      <c r="S1188"/>
      <c r="T1188"/>
      <c r="U1188"/>
    </row>
    <row r="1189" spans="12:21" s="1" customFormat="1">
      <c r="L1189"/>
      <c r="M1189"/>
      <c r="N1189"/>
      <c r="O1189"/>
      <c r="P1189"/>
      <c r="Q1189"/>
      <c r="R1189"/>
      <c r="S1189"/>
      <c r="T1189"/>
      <c r="U1189"/>
    </row>
    <row r="1190" spans="12:21" s="1" customFormat="1">
      <c r="L1190"/>
      <c r="M1190"/>
      <c r="N1190"/>
      <c r="O1190"/>
      <c r="P1190"/>
      <c r="Q1190"/>
      <c r="R1190"/>
      <c r="S1190"/>
      <c r="T1190"/>
      <c r="U1190"/>
    </row>
    <row r="1191" spans="12:21" s="1" customFormat="1">
      <c r="L1191"/>
      <c r="M1191"/>
      <c r="N1191"/>
      <c r="O1191"/>
      <c r="P1191"/>
      <c r="Q1191"/>
      <c r="R1191"/>
      <c r="S1191"/>
      <c r="T1191"/>
      <c r="U1191"/>
    </row>
    <row r="1192" spans="12:21" s="1" customFormat="1">
      <c r="L1192"/>
      <c r="M1192"/>
      <c r="N1192"/>
      <c r="O1192"/>
      <c r="P1192"/>
      <c r="Q1192"/>
      <c r="R1192"/>
      <c r="S1192"/>
      <c r="T1192"/>
      <c r="U1192"/>
    </row>
    <row r="1193" spans="12:21" s="1" customFormat="1">
      <c r="L1193"/>
      <c r="M1193"/>
      <c r="N1193"/>
      <c r="O1193"/>
      <c r="P1193"/>
      <c r="Q1193"/>
      <c r="R1193"/>
      <c r="S1193"/>
      <c r="T1193"/>
      <c r="U1193"/>
    </row>
    <row r="1194" spans="12:21" s="1" customFormat="1">
      <c r="L1194"/>
      <c r="M1194"/>
      <c r="N1194"/>
      <c r="O1194"/>
      <c r="P1194"/>
      <c r="Q1194"/>
      <c r="R1194"/>
      <c r="S1194"/>
      <c r="T1194"/>
      <c r="U1194"/>
    </row>
    <row r="1195" spans="12:21" s="1" customFormat="1">
      <c r="L1195"/>
      <c r="M1195"/>
      <c r="N1195"/>
      <c r="O1195"/>
      <c r="P1195"/>
      <c r="Q1195"/>
      <c r="R1195"/>
      <c r="S1195"/>
      <c r="T1195"/>
      <c r="U1195"/>
    </row>
    <row r="1196" spans="12:21" s="1" customFormat="1">
      <c r="L1196"/>
      <c r="M1196"/>
      <c r="N1196"/>
      <c r="O1196"/>
      <c r="P1196"/>
      <c r="Q1196"/>
      <c r="R1196"/>
      <c r="S1196"/>
      <c r="T1196"/>
      <c r="U1196"/>
    </row>
    <row r="1197" spans="12:21" s="1" customFormat="1">
      <c r="L1197"/>
      <c r="M1197"/>
      <c r="N1197"/>
      <c r="O1197"/>
      <c r="P1197"/>
      <c r="Q1197"/>
      <c r="R1197"/>
      <c r="S1197"/>
      <c r="T1197"/>
      <c r="U1197"/>
    </row>
    <row r="1198" spans="12:21" s="1" customFormat="1">
      <c r="L1198"/>
      <c r="M1198"/>
      <c r="N1198"/>
      <c r="O1198"/>
      <c r="P1198"/>
      <c r="Q1198"/>
      <c r="R1198"/>
      <c r="S1198"/>
      <c r="T1198"/>
      <c r="U1198"/>
    </row>
    <row r="1199" spans="12:21" s="1" customFormat="1">
      <c r="L1199"/>
      <c r="M1199"/>
      <c r="N1199"/>
      <c r="O1199"/>
      <c r="P1199"/>
      <c r="Q1199"/>
      <c r="R1199"/>
      <c r="S1199"/>
      <c r="T1199"/>
      <c r="U1199"/>
    </row>
    <row r="1200" spans="12:21" s="1" customFormat="1">
      <c r="L1200"/>
      <c r="M1200"/>
      <c r="N1200"/>
      <c r="O1200"/>
      <c r="P1200"/>
      <c r="Q1200"/>
      <c r="R1200"/>
      <c r="S1200"/>
      <c r="T1200"/>
      <c r="U1200"/>
    </row>
    <row r="1201" spans="12:21" s="1" customFormat="1">
      <c r="L1201"/>
      <c r="M1201"/>
      <c r="N1201"/>
      <c r="O1201"/>
      <c r="P1201"/>
      <c r="Q1201"/>
      <c r="R1201"/>
      <c r="S1201"/>
      <c r="T1201"/>
      <c r="U1201"/>
    </row>
    <row r="1202" spans="12:21" s="1" customFormat="1">
      <c r="L1202"/>
      <c r="M1202"/>
      <c r="N1202"/>
      <c r="O1202"/>
      <c r="P1202"/>
      <c r="Q1202"/>
      <c r="R1202"/>
      <c r="S1202"/>
      <c r="T1202"/>
      <c r="U1202"/>
    </row>
    <row r="1203" spans="12:21" s="1" customFormat="1">
      <c r="L1203"/>
      <c r="M1203"/>
      <c r="N1203"/>
      <c r="O1203"/>
      <c r="P1203"/>
      <c r="Q1203"/>
      <c r="R1203"/>
      <c r="S1203"/>
      <c r="T1203"/>
      <c r="U1203"/>
    </row>
    <row r="1204" spans="12:21" s="1" customFormat="1">
      <c r="L1204"/>
      <c r="M1204"/>
      <c r="N1204"/>
      <c r="O1204"/>
      <c r="P1204"/>
      <c r="Q1204"/>
      <c r="R1204"/>
      <c r="S1204"/>
      <c r="T1204"/>
      <c r="U1204"/>
    </row>
    <row r="1205" spans="12:21" s="1" customFormat="1">
      <c r="L1205"/>
      <c r="M1205"/>
      <c r="N1205"/>
      <c r="O1205"/>
      <c r="P1205"/>
      <c r="Q1205"/>
      <c r="R1205"/>
      <c r="S1205"/>
      <c r="T1205"/>
      <c r="U1205"/>
    </row>
    <row r="1206" spans="12:21" s="1" customFormat="1">
      <c r="L1206"/>
      <c r="M1206"/>
      <c r="N1206"/>
      <c r="O1206"/>
      <c r="P1206"/>
      <c r="Q1206"/>
      <c r="R1206"/>
      <c r="S1206"/>
      <c r="T1206"/>
      <c r="U1206"/>
    </row>
    <row r="1207" spans="12:21" s="1" customFormat="1">
      <c r="L1207"/>
      <c r="M1207"/>
      <c r="N1207"/>
      <c r="O1207"/>
      <c r="P1207"/>
      <c r="Q1207"/>
      <c r="R1207"/>
      <c r="S1207"/>
      <c r="T1207"/>
      <c r="U1207"/>
    </row>
    <row r="1208" spans="12:21" s="1" customFormat="1">
      <c r="L1208"/>
      <c r="M1208"/>
      <c r="N1208"/>
      <c r="O1208"/>
      <c r="P1208"/>
      <c r="Q1208"/>
      <c r="R1208"/>
      <c r="S1208"/>
      <c r="T1208"/>
      <c r="U1208"/>
    </row>
  </sheetData>
  <mergeCells count="5">
    <mergeCell ref="F13:F15"/>
    <mergeCell ref="F17:F19"/>
    <mergeCell ref="E8:F8"/>
    <mergeCell ref="E6:G6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Entry</vt:lpstr>
      <vt:lpstr>Posting</vt:lpstr>
      <vt:lpstr>Stockholder's Equity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2020-06-11T17:58:37Z</dcterms:created>
  <dcterms:modified xsi:type="dcterms:W3CDTF">2023-12-04T06:06:08Z</dcterms:modified>
</cp:coreProperties>
</file>