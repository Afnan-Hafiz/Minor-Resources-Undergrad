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saifhossain\Desktop\BUS521\"/>
    </mc:Choice>
  </mc:AlternateContent>
  <xr:revisionPtr revIDLastSave="0" documentId="13_ncr:1_{A845DCA3-8774-4CCF-AF4C-E90D4D344DAB}" xr6:coauthVersionLast="47" xr6:coauthVersionMax="47" xr10:uidLastSave="{00000000-0000-0000-0000-000000000000}"/>
  <bookViews>
    <workbookView xWindow="-120" yWindow="-120" windowWidth="19440" windowHeight="15000" activeTab="3" xr2:uid="{00000000-000D-0000-FFFF-FFFF00000000}"/>
  </bookViews>
  <sheets>
    <sheet name="Basics" sheetId="1" r:id="rId1"/>
    <sheet name="P2-13" sheetId="2" r:id="rId2"/>
    <sheet name="P7-12" sheetId="3" r:id="rId3"/>
    <sheet name="P7-15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0" i="4" l="1"/>
  <c r="H47" i="4"/>
  <c r="H38" i="4"/>
  <c r="G30" i="4"/>
  <c r="G29" i="4"/>
  <c r="G31" i="4" s="1"/>
  <c r="H25" i="4"/>
  <c r="G14" i="4"/>
  <c r="G13" i="4"/>
  <c r="H15" i="4" s="1"/>
  <c r="H10" i="4"/>
  <c r="G18" i="4" s="1"/>
  <c r="H20" i="4" s="1"/>
  <c r="H33" i="3"/>
  <c r="F46" i="3"/>
  <c r="F45" i="3"/>
  <c r="E39" i="3"/>
  <c r="E38" i="3"/>
  <c r="F40" i="3" s="1"/>
  <c r="F41" i="3" s="1"/>
  <c r="E37" i="3"/>
  <c r="E36" i="3"/>
  <c r="F32" i="3"/>
  <c r="F19" i="3"/>
  <c r="E17" i="3"/>
  <c r="E12" i="3"/>
  <c r="F14" i="3" s="1"/>
  <c r="F15" i="3" s="1"/>
  <c r="F20" i="3" s="1"/>
  <c r="E13" i="3"/>
  <c r="F9" i="3"/>
  <c r="E47" i="1"/>
  <c r="E41" i="1"/>
  <c r="E42" i="1" s="1"/>
  <c r="E48" i="1" s="1"/>
  <c r="H26" i="1"/>
  <c r="G32" i="4" l="1"/>
  <c r="H33" i="4" s="1"/>
  <c r="H34" i="4" s="1"/>
  <c r="H39" i="4" s="1"/>
  <c r="H16" i="4"/>
  <c r="H21" i="4" s="1"/>
</calcChain>
</file>

<file path=xl/sharedStrings.xml><?xml version="1.0" encoding="utf-8"?>
<sst xmlns="http://schemas.openxmlformats.org/spreadsheetml/2006/main" count="230" uniqueCount="153">
  <si>
    <t>Costs</t>
  </si>
  <si>
    <t>manufacturing (Product cost)</t>
  </si>
  <si>
    <t>non-manufacturing (Period cost)</t>
  </si>
  <si>
    <t>Direct</t>
  </si>
  <si>
    <t>Indirect (Overheads)</t>
  </si>
  <si>
    <t>Selling</t>
  </si>
  <si>
    <t>Administrative</t>
  </si>
  <si>
    <t>(traced)</t>
  </si>
  <si>
    <t>(allocated)</t>
  </si>
  <si>
    <t>Figure 1: Cost classification based on where the cost is taking place</t>
  </si>
  <si>
    <t>fixed costs</t>
  </si>
  <si>
    <t>variable costs</t>
  </si>
  <si>
    <t>Figure 2: Cost classification based on behavior</t>
  </si>
  <si>
    <t xml:space="preserve">Cost classifications for preparing financial statements </t>
  </si>
  <si>
    <t>Material</t>
  </si>
  <si>
    <t>$10 per unit</t>
  </si>
  <si>
    <t>Labor cost</t>
  </si>
  <si>
    <t>$5 per unit</t>
  </si>
  <si>
    <t>Breakeven point = Fixed cost / CM per unit</t>
  </si>
  <si>
    <t>Factory Rent</t>
  </si>
  <si>
    <t>$5000 per month</t>
  </si>
  <si>
    <t>Avg. Production</t>
  </si>
  <si>
    <t>1000 units per month</t>
  </si>
  <si>
    <t>cost per unit</t>
  </si>
  <si>
    <t>$20 per unit</t>
  </si>
  <si>
    <t>$15 per unit</t>
  </si>
  <si>
    <t>selling price</t>
  </si>
  <si>
    <t>$25 per unit</t>
  </si>
  <si>
    <t>$18 per unit</t>
  </si>
  <si>
    <t>contribution margin per unit</t>
  </si>
  <si>
    <t>Absorption Costing Income Statement</t>
  </si>
  <si>
    <t>Variable Costing Income Statement</t>
  </si>
  <si>
    <t>Details</t>
  </si>
  <si>
    <t>$</t>
  </si>
  <si>
    <t>Sales Revenue</t>
  </si>
  <si>
    <t>Sales revenue</t>
  </si>
  <si>
    <t>XXX</t>
  </si>
  <si>
    <t>(-) Cost of goods sold:</t>
  </si>
  <si>
    <t>(-) Variable costs:</t>
  </si>
  <si>
    <t>Beginning inventory</t>
  </si>
  <si>
    <t>Variable cost of goods sold</t>
  </si>
  <si>
    <t>X</t>
  </si>
  <si>
    <t>(+) Cost of goods manufactured</t>
  </si>
  <si>
    <t>Variable operating expenses</t>
  </si>
  <si>
    <t>(-) Ending inventory</t>
  </si>
  <si>
    <t>-XXX</t>
  </si>
  <si>
    <t>Contribution Margin</t>
  </si>
  <si>
    <t>Gross Profit</t>
  </si>
  <si>
    <t>(-) Fixed costs:</t>
  </si>
  <si>
    <t>(-) Operating Expenses:</t>
  </si>
  <si>
    <t>Fixed manufacturing costs</t>
  </si>
  <si>
    <t>Office rent</t>
  </si>
  <si>
    <t>Fixed operating expenses</t>
  </si>
  <si>
    <t>Salesmen salary</t>
  </si>
  <si>
    <t>Commission</t>
  </si>
  <si>
    <t>Net Income</t>
  </si>
  <si>
    <t>Workings:</t>
  </si>
  <si>
    <t>Cost of goods manufactured:</t>
  </si>
  <si>
    <t>Direct Costs</t>
  </si>
  <si>
    <t>xxx</t>
  </si>
  <si>
    <t>(+) Indirect costs</t>
  </si>
  <si>
    <t>Total manufacturing costs</t>
  </si>
  <si>
    <t>(+) Beginning WIP</t>
  </si>
  <si>
    <t>(-) Ending WIP</t>
  </si>
  <si>
    <t>-xxx</t>
  </si>
  <si>
    <t>COGM</t>
  </si>
  <si>
    <t>Per unit product cost = total manufacturing cost / total units produced</t>
  </si>
  <si>
    <t xml:space="preserve">= [ (15 x 25000) + (3 x 25000 + 300000) ] / 25000 </t>
  </si>
  <si>
    <t xml:space="preserve">= 750000 / 25000 </t>
  </si>
  <si>
    <t>= 30 per unit</t>
  </si>
  <si>
    <t>Absorption costing:</t>
  </si>
  <si>
    <t>Variable costing:</t>
  </si>
  <si>
    <t>Per unit product cost = variable manufacturing cost per unit</t>
  </si>
  <si>
    <t>= 6 + 9 + 3</t>
  </si>
  <si>
    <t>= 18 per unit</t>
  </si>
  <si>
    <t>#</t>
  </si>
  <si>
    <t>variable</t>
  </si>
  <si>
    <t>Fixed</t>
  </si>
  <si>
    <t>Manufacturing</t>
  </si>
  <si>
    <t>Non-manufacturing</t>
  </si>
  <si>
    <t>Indirect</t>
  </si>
  <si>
    <t>Property taxes, factory.</t>
  </si>
  <si>
    <t>x</t>
  </si>
  <si>
    <t>Boxes used for packaging detergent produced by the company</t>
  </si>
  <si>
    <t>Salespersons’ commissions.</t>
  </si>
  <si>
    <t>Supervisor’s salary, factory.</t>
  </si>
  <si>
    <t>Depreciation, executive autos.</t>
  </si>
  <si>
    <t>Wages of workers assembling computers.</t>
  </si>
  <si>
    <t>Insurance, finished goods warehouses.</t>
  </si>
  <si>
    <t>Lubricants for production equipment.</t>
  </si>
  <si>
    <t>?</t>
  </si>
  <si>
    <t>Advertising costs.</t>
  </si>
  <si>
    <t>Microchips used in producing calculators.</t>
  </si>
  <si>
    <t>1a)</t>
  </si>
  <si>
    <t>= (direct material + direct labor + variable OH + fixed OH) / total units produced</t>
  </si>
  <si>
    <t>= ($20/unit x 10000 units + $8/unit X 10000 units + $2/unit X 10000 units + $100000) / 10000 units</t>
  </si>
  <si>
    <t>= Total Manufacturing costs / total units produced</t>
  </si>
  <si>
    <t>= $40/unit</t>
  </si>
  <si>
    <t>1b)</t>
  </si>
  <si>
    <t>Sales revenue (8000 x 75)</t>
  </si>
  <si>
    <t>(-) Cost of goods solds:</t>
  </si>
  <si>
    <t>(+) Cost of production</t>
  </si>
  <si>
    <t>Gross Income</t>
  </si>
  <si>
    <t>Variable Selling &amp; Admin</t>
  </si>
  <si>
    <t>Fixed Selling &amp; Admin</t>
  </si>
  <si>
    <t>2b)</t>
  </si>
  <si>
    <t>Unit product cost based on absorption costing (or average production cost)</t>
  </si>
  <si>
    <t>Unit product cost based on variable costing (or per unit variable product cost)</t>
  </si>
  <si>
    <t>= Variable Manufacturing costs / units produced</t>
  </si>
  <si>
    <t>= (direct material + direct labor + variable OH) / total units produced</t>
  </si>
  <si>
    <t>= ($20/unit x 10000 units + $8/unit X 10000 units + $2/unit X 10000 units) / 10000 units</t>
  </si>
  <si>
    <t>= $30/unit</t>
  </si>
  <si>
    <t>Contribution Format Income Statement OR</t>
  </si>
  <si>
    <t>Sales (8000 x 75)</t>
  </si>
  <si>
    <t>(-) VARIABLE COSTS:</t>
  </si>
  <si>
    <t>Variable cost of goods sold:</t>
  </si>
  <si>
    <t>Variable Selling &amp; Administrative</t>
  </si>
  <si>
    <t>(+) Variable cost of production</t>
  </si>
  <si>
    <t>Absorption costing Income statement for the month of May</t>
  </si>
  <si>
    <t>Variable costing income statement (OR Contribution Approach Income Statement)</t>
  </si>
  <si>
    <t>(-) FIXED COSTS:</t>
  </si>
  <si>
    <t>Fixed manufacturing overheads</t>
  </si>
  <si>
    <t>Fixed selling and administrative</t>
  </si>
  <si>
    <t>option A</t>
  </si>
  <si>
    <t>option B</t>
  </si>
  <si>
    <t>not in product</t>
  </si>
  <si>
    <t>but as expense</t>
  </si>
  <si>
    <t>in the product</t>
  </si>
  <si>
    <t>unsold</t>
  </si>
  <si>
    <t>Net income will be lower in which option???</t>
  </si>
  <si>
    <t>a</t>
  </si>
  <si>
    <t>absorption cost per unit = (48 + 2) + 360000/12000</t>
  </si>
  <si>
    <t>=</t>
  </si>
  <si>
    <t>$80/unit</t>
  </si>
  <si>
    <t>b</t>
  </si>
  <si>
    <t>variable cost per unit = 48 + 2</t>
  </si>
  <si>
    <t>$50/unit</t>
  </si>
  <si>
    <t>Absorption costing income statement</t>
  </si>
  <si>
    <t xml:space="preserve">Sales </t>
  </si>
  <si>
    <t>(10000 x 150)</t>
  </si>
  <si>
    <t>Beginning Inventory</t>
  </si>
  <si>
    <t>(-) Selling and administrative expenses:</t>
  </si>
  <si>
    <t>Variable Selling (12% x 1500000)</t>
  </si>
  <si>
    <t>Variable costing income statement</t>
  </si>
  <si>
    <t>(+) Variable Cost of production</t>
  </si>
  <si>
    <t>Fixed manufacturing overhead</t>
  </si>
  <si>
    <t>Net Loss</t>
  </si>
  <si>
    <t>Reconciling the net incomes of the two methods</t>
  </si>
  <si>
    <t>Difference in net income</t>
  </si>
  <si>
    <t>Absorption cost net income</t>
  </si>
  <si>
    <t>Variable cost net loss</t>
  </si>
  <si>
    <t>Fixed overheads in ending inventory</t>
  </si>
  <si>
    <t>(30 x 2000)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</si>
</sst>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 x14ac:knownFonts="1">
    <font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center"/>
    </xf>
    <xf numFmtId="0" fontId="0" fillId="0" borderId="5" xfId="0" applyBorder="1"/>
    <xf numFmtId="0" fontId="0" fillId="0" borderId="0" xfId="0" applyAlignment="1">
      <alignment horizontal="right"/>
    </xf>
    <xf numFmtId="0" fontId="1" fillId="0" borderId="6" xfId="0" applyFont="1" applyBorder="1"/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2" borderId="0" xfId="0" applyFill="1"/>
    <xf numFmtId="6" fontId="0" fillId="3" borderId="0" xfId="0" applyNumberFormat="1" applyFill="1" applyAlignment="1">
      <alignment horizontal="center"/>
    </xf>
    <xf numFmtId="6" fontId="0" fillId="4" borderId="0" xfId="0" applyNumberFormat="1" applyFill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4" xfId="0" applyFont="1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quotePrefix="1" applyBorder="1" applyAlignment="1">
      <alignment horizontal="center"/>
    </xf>
    <xf numFmtId="0" fontId="0" fillId="0" borderId="6" xfId="0" applyBorder="1"/>
    <xf numFmtId="0" fontId="0" fillId="0" borderId="8" xfId="0" applyBorder="1" applyAlignment="1">
      <alignment horizontal="center"/>
    </xf>
    <xf numFmtId="0" fontId="3" fillId="0" borderId="0" xfId="0" applyFont="1"/>
    <xf numFmtId="0" fontId="2" fillId="0" borderId="1" xfId="0" applyFont="1" applyBorder="1"/>
    <xf numFmtId="0" fontId="0" fillId="0" borderId="3" xfId="0" applyBorder="1" applyAlignment="1">
      <alignment horizontal="center"/>
    </xf>
    <xf numFmtId="0" fontId="0" fillId="0" borderId="13" xfId="0" quotePrefix="1" applyBorder="1" applyAlignment="1">
      <alignment horizontal="center"/>
    </xf>
    <xf numFmtId="0" fontId="0" fillId="0" borderId="0" xfId="0" quotePrefix="1"/>
    <xf numFmtId="0" fontId="0" fillId="6" borderId="0" xfId="0" applyFill="1" applyAlignment="1">
      <alignment horizontal="center"/>
    </xf>
    <xf numFmtId="0" fontId="0" fillId="6" borderId="0" xfId="0" applyFill="1" applyAlignment="1">
      <alignment horizontal="left"/>
    </xf>
    <xf numFmtId="0" fontId="0" fillId="0" borderId="14" xfId="0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4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5" xfId="0" applyBorder="1" applyAlignment="1">
      <alignment horizontal="center"/>
    </xf>
    <xf numFmtId="0" fontId="0" fillId="0" borderId="11" xfId="0" applyBorder="1"/>
    <xf numFmtId="0" fontId="2" fillId="0" borderId="0" xfId="0" applyFont="1"/>
    <xf numFmtId="0" fontId="0" fillId="0" borderId="16" xfId="0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0" borderId="0" xfId="0" quotePrefix="1" applyAlignment="1">
      <alignment horizontal="right"/>
    </xf>
    <xf numFmtId="0" fontId="0" fillId="0" borderId="17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18" xfId="0" applyBorder="1"/>
    <xf numFmtId="0" fontId="0" fillId="0" borderId="13" xfId="0" applyBorder="1"/>
    <xf numFmtId="0" fontId="0" fillId="0" borderId="12" xfId="0" applyBorder="1"/>
    <xf numFmtId="0" fontId="0" fillId="0" borderId="19" xfId="0" applyBorder="1"/>
    <xf numFmtId="0" fontId="0" fillId="0" borderId="17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118614</xdr:colOff>
      <xdr:row>1</xdr:row>
      <xdr:rowOff>10783</xdr:rowOff>
    </xdr:from>
    <xdr:to>
      <xdr:col>3</xdr:col>
      <xdr:colOff>248010</xdr:colOff>
      <xdr:row>3</xdr:row>
      <xdr:rowOff>28755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7FE6CB5F-468A-4E35-86FF-30C6355C4D7D}"/>
            </a:ext>
          </a:extLst>
        </xdr:cNvPr>
        <xdr:cNvCxnSpPr/>
      </xdr:nvCxnSpPr>
      <xdr:spPr>
        <a:xfrm flipH="1">
          <a:off x="1728339" y="201283"/>
          <a:ext cx="605646" cy="39897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258793</xdr:colOff>
      <xdr:row>1</xdr:row>
      <xdr:rowOff>10783</xdr:rowOff>
    </xdr:from>
    <xdr:to>
      <xdr:col>5</xdr:col>
      <xdr:colOff>32349</xdr:colOff>
      <xdr:row>3</xdr:row>
      <xdr:rowOff>61104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FD87E012-EB2F-4480-88E6-FC76742276E0}"/>
            </a:ext>
          </a:extLst>
        </xdr:cNvPr>
        <xdr:cNvCxnSpPr/>
      </xdr:nvCxnSpPr>
      <xdr:spPr>
        <a:xfrm>
          <a:off x="2344768" y="201283"/>
          <a:ext cx="726056" cy="43132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298330</xdr:colOff>
      <xdr:row>3</xdr:row>
      <xdr:rowOff>177560</xdr:rowOff>
    </xdr:from>
    <xdr:to>
      <xdr:col>1</xdr:col>
      <xdr:colOff>382438</xdr:colOff>
      <xdr:row>7</xdr:row>
      <xdr:rowOff>14377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2D269FE1-ED4F-41CA-A0F2-A01050E5181C}"/>
            </a:ext>
          </a:extLst>
        </xdr:cNvPr>
        <xdr:cNvCxnSpPr/>
      </xdr:nvCxnSpPr>
      <xdr:spPr>
        <a:xfrm flipH="1">
          <a:off x="212605" y="749060"/>
          <a:ext cx="379383" cy="5988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393221</xdr:colOff>
      <xdr:row>3</xdr:row>
      <xdr:rowOff>177560</xdr:rowOff>
    </xdr:from>
    <xdr:to>
      <xdr:col>2</xdr:col>
      <xdr:colOff>265982</xdr:colOff>
      <xdr:row>7</xdr:row>
      <xdr:rowOff>25160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22821F01-CC07-439A-A27E-2AAF2FB8836A}"/>
            </a:ext>
          </a:extLst>
        </xdr:cNvPr>
        <xdr:cNvCxnSpPr/>
      </xdr:nvCxnSpPr>
      <xdr:spPr>
        <a:xfrm>
          <a:off x="602771" y="749060"/>
          <a:ext cx="1272936" cy="609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143773</xdr:colOff>
      <xdr:row>4</xdr:row>
      <xdr:rowOff>19410</xdr:rowOff>
    </xdr:from>
    <xdr:to>
      <xdr:col>6</xdr:col>
      <xdr:colOff>87703</xdr:colOff>
      <xdr:row>7</xdr:row>
      <xdr:rowOff>3594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89BE21E2-424D-4086-BC48-2ACE7B1E492E}"/>
            </a:ext>
          </a:extLst>
        </xdr:cNvPr>
        <xdr:cNvCxnSpPr/>
      </xdr:nvCxnSpPr>
      <xdr:spPr>
        <a:xfrm flipH="1">
          <a:off x="3182248" y="781410"/>
          <a:ext cx="153480" cy="55568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98486</xdr:colOff>
      <xdr:row>4</xdr:row>
      <xdr:rowOff>19410</xdr:rowOff>
    </xdr:from>
    <xdr:to>
      <xdr:col>6</xdr:col>
      <xdr:colOff>567531</xdr:colOff>
      <xdr:row>7</xdr:row>
      <xdr:rowOff>7938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7CD0E85E-E002-46CB-BA9A-9DF4F0CBC0B6}"/>
            </a:ext>
          </a:extLst>
        </xdr:cNvPr>
        <xdr:cNvCxnSpPr/>
      </xdr:nvCxnSpPr>
      <xdr:spPr>
        <a:xfrm>
          <a:off x="3346511" y="781410"/>
          <a:ext cx="183295" cy="56002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118614</xdr:colOff>
      <xdr:row>13</xdr:row>
      <xdr:rowOff>10783</xdr:rowOff>
    </xdr:from>
    <xdr:to>
      <xdr:col>3</xdr:col>
      <xdr:colOff>248010</xdr:colOff>
      <xdr:row>15</xdr:row>
      <xdr:rowOff>28755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B750816-01AF-4A04-A534-ED194B7F272B}"/>
            </a:ext>
          </a:extLst>
        </xdr:cNvPr>
        <xdr:cNvCxnSpPr/>
      </xdr:nvCxnSpPr>
      <xdr:spPr>
        <a:xfrm flipH="1">
          <a:off x="1728339" y="2506333"/>
          <a:ext cx="605646" cy="39897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258793</xdr:colOff>
      <xdr:row>13</xdr:row>
      <xdr:rowOff>10783</xdr:rowOff>
    </xdr:from>
    <xdr:to>
      <xdr:col>5</xdr:col>
      <xdr:colOff>32349</xdr:colOff>
      <xdr:row>15</xdr:row>
      <xdr:rowOff>61104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DB8A5294-01B8-40B3-AD9B-7354FC87631D}"/>
            </a:ext>
          </a:extLst>
        </xdr:cNvPr>
        <xdr:cNvCxnSpPr/>
      </xdr:nvCxnSpPr>
      <xdr:spPr>
        <a:xfrm>
          <a:off x="2344768" y="2506333"/>
          <a:ext cx="726056" cy="43132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9"/>
  <sheetViews>
    <sheetView topLeftCell="A33" zoomScale="205" zoomScaleNormal="205" workbookViewId="0">
      <selection activeCell="H38" sqref="H38:I39"/>
    </sheetView>
  </sheetViews>
  <sheetFormatPr defaultRowHeight="15" x14ac:dyDescent="0.25"/>
  <cols>
    <col min="1" max="1" width="3.140625" customWidth="1"/>
    <col min="2" max="2" width="21" customWidth="1"/>
    <col min="3" max="5" width="7.140625" style="6" customWidth="1"/>
    <col min="6" max="6" width="3.140625" customWidth="1"/>
    <col min="7" max="7" width="4.28515625" customWidth="1"/>
    <col min="8" max="8" width="15.85546875" customWidth="1"/>
    <col min="9" max="11" width="7.7109375" customWidth="1"/>
  </cols>
  <sheetData>
    <row r="1" spans="1:8" x14ac:dyDescent="0.25">
      <c r="A1" s="1"/>
      <c r="B1" s="2"/>
      <c r="C1" s="3"/>
      <c r="D1" s="3" t="s">
        <v>0</v>
      </c>
      <c r="E1" s="3"/>
      <c r="F1" s="2"/>
      <c r="G1" s="2"/>
      <c r="H1" s="4"/>
    </row>
    <row r="2" spans="1:8" x14ac:dyDescent="0.25">
      <c r="A2" s="5"/>
      <c r="H2" s="7"/>
    </row>
    <row r="3" spans="1:8" x14ac:dyDescent="0.25">
      <c r="A3" s="5"/>
      <c r="H3" s="7"/>
    </row>
    <row r="4" spans="1:8" x14ac:dyDescent="0.25">
      <c r="A4" s="5"/>
      <c r="B4" t="s">
        <v>1</v>
      </c>
      <c r="F4" t="s">
        <v>2</v>
      </c>
      <c r="H4" s="7"/>
    </row>
    <row r="5" spans="1:8" x14ac:dyDescent="0.25">
      <c r="A5" s="5"/>
      <c r="H5" s="7"/>
    </row>
    <row r="6" spans="1:8" x14ac:dyDescent="0.25">
      <c r="A6" s="5"/>
      <c r="B6" s="8"/>
      <c r="H6" s="7"/>
    </row>
    <row r="7" spans="1:8" x14ac:dyDescent="0.25">
      <c r="A7" s="5"/>
      <c r="B7" s="8"/>
      <c r="H7" s="7"/>
    </row>
    <row r="8" spans="1:8" x14ac:dyDescent="0.25">
      <c r="A8" s="5" t="s">
        <v>3</v>
      </c>
      <c r="B8" s="8"/>
      <c r="C8" s="6" t="s">
        <v>4</v>
      </c>
      <c r="F8" t="s">
        <v>5</v>
      </c>
      <c r="G8" t="s">
        <v>6</v>
      </c>
      <c r="H8" s="7"/>
    </row>
    <row r="9" spans="1:8" x14ac:dyDescent="0.25">
      <c r="A9" s="5" t="s">
        <v>7</v>
      </c>
      <c r="B9" s="8"/>
      <c r="C9" s="6" t="s">
        <v>8</v>
      </c>
      <c r="H9" s="7"/>
    </row>
    <row r="10" spans="1:8" ht="15.75" thickBot="1" x14ac:dyDescent="0.3">
      <c r="A10" s="9" t="s">
        <v>9</v>
      </c>
      <c r="B10" s="10"/>
      <c r="C10" s="11"/>
      <c r="D10" s="11"/>
      <c r="E10" s="11"/>
      <c r="F10" s="10"/>
      <c r="G10" s="10"/>
      <c r="H10" s="12"/>
    </row>
    <row r="12" spans="1:8" ht="15.75" thickBot="1" x14ac:dyDescent="0.3"/>
    <row r="13" spans="1:8" x14ac:dyDescent="0.25">
      <c r="A13" s="1"/>
      <c r="B13" s="2"/>
      <c r="C13" s="3"/>
      <c r="D13" s="3" t="s">
        <v>0</v>
      </c>
      <c r="E13" s="3"/>
      <c r="F13" s="2"/>
      <c r="G13" s="2"/>
      <c r="H13" s="4"/>
    </row>
    <row r="14" spans="1:8" x14ac:dyDescent="0.25">
      <c r="A14" s="5"/>
      <c r="H14" s="7"/>
    </row>
    <row r="15" spans="1:8" x14ac:dyDescent="0.25">
      <c r="A15" s="5"/>
      <c r="H15" s="7"/>
    </row>
    <row r="16" spans="1:8" x14ac:dyDescent="0.25">
      <c r="A16" s="5"/>
      <c r="B16" t="s">
        <v>10</v>
      </c>
      <c r="F16" t="s">
        <v>11</v>
      </c>
      <c r="H16" s="7"/>
    </row>
    <row r="17" spans="1:8" x14ac:dyDescent="0.25">
      <c r="A17" s="5"/>
      <c r="H17" s="7"/>
    </row>
    <row r="18" spans="1:8" ht="15.75" thickBot="1" x14ac:dyDescent="0.3">
      <c r="A18" s="9" t="s">
        <v>12</v>
      </c>
      <c r="B18" s="10"/>
      <c r="C18" s="11"/>
      <c r="D18" s="11"/>
      <c r="E18" s="11"/>
      <c r="F18" s="10"/>
      <c r="G18" s="10"/>
      <c r="H18" s="12"/>
    </row>
    <row r="19" spans="1:8" x14ac:dyDescent="0.25">
      <c r="F19" s="13"/>
    </row>
    <row r="20" spans="1:8" x14ac:dyDescent="0.25">
      <c r="A20" t="s">
        <v>13</v>
      </c>
      <c r="F20" s="13"/>
    </row>
    <row r="21" spans="1:8" x14ac:dyDescent="0.25">
      <c r="F21" s="13"/>
    </row>
    <row r="22" spans="1:8" x14ac:dyDescent="0.25">
      <c r="C22" s="6" t="s">
        <v>14</v>
      </c>
      <c r="E22" s="6" t="s">
        <v>15</v>
      </c>
      <c r="F22" s="13"/>
    </row>
    <row r="23" spans="1:8" x14ac:dyDescent="0.25">
      <c r="C23" s="6" t="s">
        <v>16</v>
      </c>
      <c r="E23" s="6" t="s">
        <v>17</v>
      </c>
      <c r="F23" s="13"/>
      <c r="H23" t="s">
        <v>18</v>
      </c>
    </row>
    <row r="24" spans="1:8" x14ac:dyDescent="0.25">
      <c r="C24" s="6" t="s">
        <v>19</v>
      </c>
      <c r="E24" s="6" t="s">
        <v>20</v>
      </c>
      <c r="F24" s="13"/>
    </row>
    <row r="25" spans="1:8" x14ac:dyDescent="0.25">
      <c r="C25" s="6" t="s">
        <v>21</v>
      </c>
      <c r="E25" s="6" t="s">
        <v>22</v>
      </c>
      <c r="F25" s="13"/>
    </row>
    <row r="26" spans="1:8" x14ac:dyDescent="0.25">
      <c r="F26" s="13"/>
      <c r="H26">
        <f>5000/3</f>
        <v>1666.6666666666667</v>
      </c>
    </row>
    <row r="27" spans="1:8" x14ac:dyDescent="0.25">
      <c r="A27" t="s">
        <v>23</v>
      </c>
      <c r="C27" s="6" t="s">
        <v>24</v>
      </c>
      <c r="E27" s="6" t="s">
        <v>25</v>
      </c>
      <c r="F27" s="13"/>
    </row>
    <row r="28" spans="1:8" x14ac:dyDescent="0.25">
      <c r="A28" t="s">
        <v>26</v>
      </c>
      <c r="C28" s="6" t="s">
        <v>27</v>
      </c>
      <c r="E28" s="6" t="s">
        <v>28</v>
      </c>
      <c r="F28" s="13"/>
    </row>
    <row r="29" spans="1:8" x14ac:dyDescent="0.25">
      <c r="C29" s="14">
        <v>5</v>
      </c>
      <c r="E29" s="15">
        <v>3</v>
      </c>
      <c r="F29" s="13" t="s">
        <v>29</v>
      </c>
    </row>
    <row r="30" spans="1:8" x14ac:dyDescent="0.25">
      <c r="F30" s="13"/>
    </row>
    <row r="31" spans="1:8" x14ac:dyDescent="0.25">
      <c r="F31" s="13"/>
    </row>
    <row r="32" spans="1:8" x14ac:dyDescent="0.25">
      <c r="F32" s="13"/>
    </row>
    <row r="33" spans="1:11" x14ac:dyDescent="0.25">
      <c r="F33" s="13"/>
      <c r="G33" t="s">
        <v>112</v>
      </c>
    </row>
    <row r="34" spans="1:11" ht="15.75" thickBot="1" x14ac:dyDescent="0.3">
      <c r="A34" t="s">
        <v>30</v>
      </c>
      <c r="F34" s="13"/>
      <c r="G34" t="s">
        <v>31</v>
      </c>
    </row>
    <row r="35" spans="1:11" ht="15.75" thickBot="1" x14ac:dyDescent="0.3">
      <c r="A35" s="16" t="s">
        <v>32</v>
      </c>
      <c r="B35" s="17"/>
      <c r="C35" s="18"/>
      <c r="D35" s="18" t="s">
        <v>33</v>
      </c>
      <c r="E35" s="18" t="s">
        <v>33</v>
      </c>
      <c r="F35" s="13"/>
      <c r="G35" s="16" t="s">
        <v>32</v>
      </c>
      <c r="H35" s="17"/>
      <c r="I35" s="18"/>
      <c r="J35" s="18" t="s">
        <v>33</v>
      </c>
      <c r="K35" s="18" t="s">
        <v>33</v>
      </c>
    </row>
    <row r="36" spans="1:11" x14ac:dyDescent="0.25">
      <c r="A36" s="5" t="s">
        <v>34</v>
      </c>
      <c r="C36" s="19"/>
      <c r="D36" s="19"/>
      <c r="E36" s="19">
        <v>50000</v>
      </c>
      <c r="F36" s="13"/>
      <c r="G36" s="5" t="s">
        <v>35</v>
      </c>
      <c r="I36" s="19"/>
      <c r="J36" s="19"/>
      <c r="K36" s="19" t="s">
        <v>36</v>
      </c>
    </row>
    <row r="37" spans="1:11" x14ac:dyDescent="0.25">
      <c r="A37" s="20" t="s">
        <v>37</v>
      </c>
      <c r="C37" s="19"/>
      <c r="D37" s="19"/>
      <c r="E37" s="19"/>
      <c r="F37" s="13"/>
      <c r="G37" s="20" t="s">
        <v>38</v>
      </c>
      <c r="I37" s="19"/>
      <c r="J37" s="19"/>
      <c r="K37" s="19"/>
    </row>
    <row r="38" spans="1:11" x14ac:dyDescent="0.25">
      <c r="A38" s="5"/>
      <c r="B38" t="s">
        <v>39</v>
      </c>
      <c r="C38" s="19"/>
      <c r="D38" s="19">
        <v>5000</v>
      </c>
      <c r="E38" s="19"/>
      <c r="F38" s="13"/>
      <c r="G38" s="5"/>
      <c r="H38" t="s">
        <v>40</v>
      </c>
      <c r="I38" s="19"/>
      <c r="J38" s="19" t="s">
        <v>41</v>
      </c>
      <c r="K38" s="19"/>
    </row>
    <row r="39" spans="1:11" x14ac:dyDescent="0.25">
      <c r="A39" s="5"/>
      <c r="B39" t="s">
        <v>42</v>
      </c>
      <c r="C39" s="19"/>
      <c r="D39" s="19">
        <v>25000</v>
      </c>
      <c r="E39" s="19"/>
      <c r="F39" s="13"/>
      <c r="G39" s="5"/>
      <c r="H39" t="s">
        <v>43</v>
      </c>
      <c r="I39" s="19"/>
      <c r="J39" s="21" t="s">
        <v>41</v>
      </c>
      <c r="K39" s="19"/>
    </row>
    <row r="40" spans="1:11" x14ac:dyDescent="0.25">
      <c r="A40" s="5"/>
      <c r="B40" t="s">
        <v>44</v>
      </c>
      <c r="C40" s="19"/>
      <c r="D40" s="22">
        <v>-2000</v>
      </c>
      <c r="E40" s="19"/>
      <c r="F40" s="13"/>
      <c r="G40" s="5"/>
      <c r="I40" s="19"/>
      <c r="J40" s="19"/>
      <c r="K40" s="23" t="s">
        <v>45</v>
      </c>
    </row>
    <row r="41" spans="1:11" x14ac:dyDescent="0.25">
      <c r="A41" s="5"/>
      <c r="C41" s="19"/>
      <c r="D41" s="19"/>
      <c r="E41" s="22">
        <f>-SUM(D38:D40)</f>
        <v>-28000</v>
      </c>
      <c r="F41" s="13"/>
      <c r="G41" s="5" t="s">
        <v>46</v>
      </c>
      <c r="I41" s="19"/>
      <c r="J41" s="19"/>
      <c r="K41" s="19" t="s">
        <v>36</v>
      </c>
    </row>
    <row r="42" spans="1:11" x14ac:dyDescent="0.25">
      <c r="A42" s="5" t="s">
        <v>47</v>
      </c>
      <c r="C42" s="19"/>
      <c r="D42" s="19"/>
      <c r="E42" s="19">
        <f>SUM(E36:E41)</f>
        <v>22000</v>
      </c>
      <c r="F42" s="13"/>
      <c r="G42" s="20" t="s">
        <v>48</v>
      </c>
      <c r="I42" s="19"/>
      <c r="J42" s="19"/>
      <c r="K42" s="19"/>
    </row>
    <row r="43" spans="1:11" x14ac:dyDescent="0.25">
      <c r="A43" s="20" t="s">
        <v>49</v>
      </c>
      <c r="C43" s="19"/>
      <c r="D43" s="19"/>
      <c r="E43" s="19"/>
      <c r="F43" s="13"/>
      <c r="G43" s="20"/>
      <c r="H43" t="s">
        <v>50</v>
      </c>
      <c r="I43" s="19"/>
      <c r="J43" s="19" t="s">
        <v>41</v>
      </c>
      <c r="K43" s="19"/>
    </row>
    <row r="44" spans="1:11" x14ac:dyDescent="0.25">
      <c r="A44" s="5"/>
      <c r="B44" t="s">
        <v>51</v>
      </c>
      <c r="C44" s="19"/>
      <c r="D44" s="19">
        <v>3000</v>
      </c>
      <c r="E44" s="19"/>
      <c r="F44" s="13"/>
      <c r="G44" s="5"/>
      <c r="H44" t="s">
        <v>52</v>
      </c>
      <c r="I44" s="19"/>
      <c r="J44" s="21" t="s">
        <v>41</v>
      </c>
      <c r="K44" s="19"/>
    </row>
    <row r="45" spans="1:11" x14ac:dyDescent="0.25">
      <c r="A45" s="5"/>
      <c r="B45" t="s">
        <v>53</v>
      </c>
      <c r="C45" s="19"/>
      <c r="D45" s="19">
        <v>1000</v>
      </c>
      <c r="E45" s="19"/>
      <c r="F45" s="13"/>
      <c r="G45" s="5"/>
      <c r="I45" s="19"/>
      <c r="J45" s="19"/>
      <c r="K45" s="23" t="s">
        <v>45</v>
      </c>
    </row>
    <row r="46" spans="1:11" x14ac:dyDescent="0.25">
      <c r="A46" s="5"/>
      <c r="B46" t="s">
        <v>54</v>
      </c>
      <c r="C46" s="19"/>
      <c r="D46" s="22">
        <v>2000</v>
      </c>
      <c r="E46" s="19"/>
      <c r="F46" s="13"/>
      <c r="G46" s="5" t="s">
        <v>55</v>
      </c>
      <c r="I46" s="19"/>
      <c r="J46" s="19"/>
      <c r="K46" s="19" t="s">
        <v>36</v>
      </c>
    </row>
    <row r="47" spans="1:11" x14ac:dyDescent="0.25">
      <c r="A47" s="5"/>
      <c r="C47" s="19"/>
      <c r="D47" s="19"/>
      <c r="E47" s="22">
        <f>-SUM(D44:D46)</f>
        <v>-6000</v>
      </c>
      <c r="F47" s="13"/>
      <c r="G47" s="5"/>
      <c r="I47" s="19"/>
      <c r="J47" s="19"/>
      <c r="K47" s="19"/>
    </row>
    <row r="48" spans="1:11" ht="15.75" thickBot="1" x14ac:dyDescent="0.3">
      <c r="A48" s="24" t="s">
        <v>55</v>
      </c>
      <c r="B48" s="10"/>
      <c r="C48" s="25"/>
      <c r="D48" s="25"/>
      <c r="E48" s="25">
        <f>SUM(E42:E47)</f>
        <v>16000</v>
      </c>
      <c r="F48" s="13"/>
      <c r="G48" s="24"/>
      <c r="H48" s="10"/>
      <c r="I48" s="19"/>
      <c r="J48" s="19"/>
      <c r="K48" s="19"/>
    </row>
    <row r="49" spans="1:11" x14ac:dyDescent="0.25">
      <c r="F49" s="13"/>
      <c r="I49" s="6"/>
      <c r="J49" s="6"/>
      <c r="K49" s="6"/>
    </row>
    <row r="50" spans="1:11" ht="15.75" thickBot="1" x14ac:dyDescent="0.3">
      <c r="A50" s="26" t="s">
        <v>56</v>
      </c>
      <c r="F50" s="13"/>
    </row>
    <row r="51" spans="1:11" x14ac:dyDescent="0.25">
      <c r="A51" s="27" t="s">
        <v>57</v>
      </c>
      <c r="B51" s="2"/>
      <c r="C51" s="28"/>
      <c r="F51" s="13"/>
    </row>
    <row r="52" spans="1:11" x14ac:dyDescent="0.25">
      <c r="A52" s="5"/>
      <c r="B52" t="s">
        <v>58</v>
      </c>
      <c r="C52" s="19" t="s">
        <v>59</v>
      </c>
      <c r="F52" s="13"/>
    </row>
    <row r="53" spans="1:11" x14ac:dyDescent="0.25">
      <c r="A53" s="5"/>
      <c r="B53" t="s">
        <v>60</v>
      </c>
      <c r="C53" s="22" t="s">
        <v>59</v>
      </c>
      <c r="F53" s="13"/>
    </row>
    <row r="54" spans="1:11" x14ac:dyDescent="0.25">
      <c r="A54" s="5"/>
      <c r="B54" t="s">
        <v>61</v>
      </c>
      <c r="C54" s="19" t="s">
        <v>59</v>
      </c>
      <c r="F54" s="13"/>
    </row>
    <row r="55" spans="1:11" x14ac:dyDescent="0.25">
      <c r="A55" s="5"/>
      <c r="B55" t="s">
        <v>62</v>
      </c>
      <c r="C55" s="19" t="s">
        <v>59</v>
      </c>
      <c r="F55" s="13"/>
    </row>
    <row r="56" spans="1:11" x14ac:dyDescent="0.25">
      <c r="A56" s="5"/>
      <c r="B56" t="s">
        <v>63</v>
      </c>
      <c r="C56" s="29" t="s">
        <v>64</v>
      </c>
      <c r="F56" s="13"/>
    </row>
    <row r="57" spans="1:11" ht="15.75" thickBot="1" x14ac:dyDescent="0.3">
      <c r="A57" s="24"/>
      <c r="B57" s="10" t="s">
        <v>65</v>
      </c>
      <c r="C57" s="25" t="s">
        <v>59</v>
      </c>
      <c r="F57" s="13"/>
    </row>
    <row r="58" spans="1:11" x14ac:dyDescent="0.25">
      <c r="F58" s="13"/>
    </row>
    <row r="59" spans="1:11" x14ac:dyDescent="0.25">
      <c r="A59" t="s">
        <v>70</v>
      </c>
      <c r="F59" s="13"/>
    </row>
    <row r="60" spans="1:11" x14ac:dyDescent="0.25">
      <c r="A60" t="s">
        <v>66</v>
      </c>
    </row>
    <row r="62" spans="1:11" x14ac:dyDescent="0.25">
      <c r="B62" s="30" t="s">
        <v>67</v>
      </c>
    </row>
    <row r="63" spans="1:11" x14ac:dyDescent="0.25">
      <c r="B63" s="30" t="s">
        <v>68</v>
      </c>
    </row>
    <row r="64" spans="1:11" x14ac:dyDescent="0.25">
      <c r="B64" s="30" t="s">
        <v>69</v>
      </c>
    </row>
    <row r="66" spans="1:2" x14ac:dyDescent="0.25">
      <c r="A66" t="s">
        <v>71</v>
      </c>
    </row>
    <row r="67" spans="1:2" x14ac:dyDescent="0.25">
      <c r="A67" t="s">
        <v>72</v>
      </c>
    </row>
    <row r="68" spans="1:2" x14ac:dyDescent="0.25">
      <c r="B68" s="30" t="s">
        <v>73</v>
      </c>
    </row>
    <row r="69" spans="1:2" x14ac:dyDescent="0.25">
      <c r="B69" s="30" t="s">
        <v>74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C01FB-2FC5-4218-9B89-4DC64117A38C}">
  <dimension ref="A1:H21"/>
  <sheetViews>
    <sheetView zoomScale="190" zoomScaleNormal="190" workbookViewId="0">
      <pane ySplit="2" topLeftCell="A3" activePane="bottomLeft" state="frozen"/>
      <selection pane="bottomLeft" activeCell="D1" sqref="D1:E16"/>
    </sheetView>
  </sheetViews>
  <sheetFormatPr defaultRowHeight="15" x14ac:dyDescent="0.25"/>
  <cols>
    <col min="1" max="1" width="4" style="6" customWidth="1"/>
    <col min="2" max="3" width="8.5703125" style="6" customWidth="1"/>
    <col min="4" max="4" width="6.28515625" style="31" customWidth="1"/>
    <col min="5" max="5" width="7.28515625" style="31" customWidth="1"/>
    <col min="6" max="6" width="5.28515625" style="32" customWidth="1"/>
    <col min="7" max="7" width="2" style="37" customWidth="1"/>
  </cols>
  <sheetData>
    <row r="1" spans="1:8" x14ac:dyDescent="0.25">
      <c r="A1" s="33" t="s">
        <v>75</v>
      </c>
      <c r="B1" s="34" t="s">
        <v>76</v>
      </c>
      <c r="C1" s="34" t="s">
        <v>77</v>
      </c>
      <c r="D1" s="42" t="s">
        <v>78</v>
      </c>
      <c r="E1" s="42"/>
      <c r="F1" s="36" t="s">
        <v>79</v>
      </c>
    </row>
    <row r="2" spans="1:8" x14ac:dyDescent="0.25">
      <c r="A2" s="33"/>
      <c r="B2" s="34"/>
      <c r="C2" s="34"/>
      <c r="D2" s="35" t="s">
        <v>3</v>
      </c>
      <c r="E2" s="35" t="s">
        <v>80</v>
      </c>
      <c r="F2" s="35"/>
    </row>
    <row r="3" spans="1:8" x14ac:dyDescent="0.25">
      <c r="A3" s="33">
        <v>1</v>
      </c>
      <c r="B3" s="34"/>
      <c r="C3" s="34" t="s">
        <v>82</v>
      </c>
      <c r="D3" s="35"/>
      <c r="E3" s="35" t="s">
        <v>82</v>
      </c>
      <c r="F3" s="35"/>
      <c r="H3" s="37" t="s">
        <v>81</v>
      </c>
    </row>
    <row r="4" spans="1:8" x14ac:dyDescent="0.25">
      <c r="A4" s="33">
        <v>2</v>
      </c>
      <c r="B4" s="34" t="s">
        <v>82</v>
      </c>
      <c r="C4" s="34"/>
      <c r="D4" s="35" t="s">
        <v>82</v>
      </c>
      <c r="E4" s="35"/>
      <c r="F4" s="35"/>
      <c r="H4" t="s">
        <v>83</v>
      </c>
    </row>
    <row r="5" spans="1:8" x14ac:dyDescent="0.25">
      <c r="A5" s="33">
        <v>3</v>
      </c>
      <c r="B5" s="34" t="s">
        <v>82</v>
      </c>
      <c r="C5" s="34"/>
      <c r="D5" s="35"/>
      <c r="E5" s="35"/>
      <c r="F5" s="35" t="s">
        <v>82</v>
      </c>
      <c r="H5" t="s">
        <v>84</v>
      </c>
    </row>
    <row r="6" spans="1:8" x14ac:dyDescent="0.25">
      <c r="A6" s="33">
        <v>4</v>
      </c>
      <c r="B6" s="34"/>
      <c r="C6" s="34" t="s">
        <v>82</v>
      </c>
      <c r="D6" s="35"/>
      <c r="E6" s="35" t="s">
        <v>82</v>
      </c>
      <c r="F6" s="35"/>
      <c r="H6" t="s">
        <v>85</v>
      </c>
    </row>
    <row r="7" spans="1:8" x14ac:dyDescent="0.25">
      <c r="A7" s="33">
        <v>5</v>
      </c>
      <c r="B7" s="34"/>
      <c r="C7" s="34" t="s">
        <v>82</v>
      </c>
      <c r="D7" s="35"/>
      <c r="E7" s="35"/>
      <c r="F7" s="35" t="s">
        <v>82</v>
      </c>
      <c r="H7" t="s">
        <v>86</v>
      </c>
    </row>
    <row r="8" spans="1:8" x14ac:dyDescent="0.25">
      <c r="A8" s="33">
        <v>6</v>
      </c>
      <c r="B8" s="34" t="s">
        <v>82</v>
      </c>
      <c r="C8" s="34"/>
      <c r="D8" s="35" t="s">
        <v>82</v>
      </c>
      <c r="E8" s="35"/>
      <c r="F8" s="35"/>
      <c r="H8" t="s">
        <v>87</v>
      </c>
    </row>
    <row r="9" spans="1:8" x14ac:dyDescent="0.25">
      <c r="A9" s="33">
        <v>7</v>
      </c>
      <c r="B9" s="34"/>
      <c r="C9" s="34" t="s">
        <v>82</v>
      </c>
      <c r="D9" s="35"/>
      <c r="E9" s="35"/>
      <c r="F9" s="35" t="s">
        <v>82</v>
      </c>
      <c r="H9" t="s">
        <v>88</v>
      </c>
    </row>
    <row r="10" spans="1:8" x14ac:dyDescent="0.25">
      <c r="A10" s="33">
        <v>8</v>
      </c>
      <c r="B10" s="34"/>
      <c r="C10" s="34" t="s">
        <v>90</v>
      </c>
      <c r="D10" s="35"/>
      <c r="E10" s="35" t="s">
        <v>82</v>
      </c>
      <c r="F10" s="35"/>
      <c r="H10" t="s">
        <v>89</v>
      </c>
    </row>
    <row r="11" spans="1:8" x14ac:dyDescent="0.25">
      <c r="A11" s="33">
        <v>9</v>
      </c>
      <c r="B11" s="34"/>
      <c r="C11" s="34" t="s">
        <v>82</v>
      </c>
      <c r="D11" s="35"/>
      <c r="E11" s="35"/>
      <c r="F11" s="35" t="s">
        <v>82</v>
      </c>
      <c r="H11" t="s">
        <v>91</v>
      </c>
    </row>
    <row r="12" spans="1:8" x14ac:dyDescent="0.25">
      <c r="A12" s="33">
        <v>10</v>
      </c>
      <c r="B12" s="34" t="s">
        <v>82</v>
      </c>
      <c r="C12" s="34"/>
      <c r="D12" s="35" t="s">
        <v>82</v>
      </c>
      <c r="E12" s="35"/>
      <c r="F12" s="35"/>
      <c r="H12" t="s">
        <v>92</v>
      </c>
    </row>
    <row r="13" spans="1:8" x14ac:dyDescent="0.25">
      <c r="A13" s="33">
        <v>11</v>
      </c>
      <c r="B13" s="34"/>
      <c r="C13" s="34"/>
      <c r="D13" s="35"/>
      <c r="E13" s="35"/>
      <c r="F13" s="35"/>
    </row>
    <row r="14" spans="1:8" x14ac:dyDescent="0.25">
      <c r="A14" s="33">
        <v>12</v>
      </c>
      <c r="B14" s="34"/>
      <c r="C14" s="34"/>
      <c r="D14" s="35"/>
      <c r="E14" s="35"/>
      <c r="F14" s="36"/>
    </row>
    <row r="15" spans="1:8" x14ac:dyDescent="0.25">
      <c r="A15" s="33">
        <v>13</v>
      </c>
      <c r="B15" s="34"/>
      <c r="C15" s="34"/>
      <c r="D15" s="35"/>
      <c r="E15" s="35"/>
      <c r="F15" s="36"/>
    </row>
    <row r="16" spans="1:8" x14ac:dyDescent="0.25">
      <c r="A16" s="33">
        <v>14</v>
      </c>
      <c r="B16" s="34"/>
      <c r="C16" s="34"/>
      <c r="D16" s="35"/>
      <c r="E16" s="35"/>
      <c r="F16" s="36"/>
    </row>
    <row r="17" spans="1:6" x14ac:dyDescent="0.25">
      <c r="A17" s="33">
        <v>15</v>
      </c>
      <c r="B17" s="34"/>
      <c r="C17" s="34"/>
      <c r="D17" s="35"/>
      <c r="E17" s="35"/>
      <c r="F17" s="36"/>
    </row>
    <row r="18" spans="1:6" x14ac:dyDescent="0.25">
      <c r="A18" s="33">
        <v>16</v>
      </c>
      <c r="B18" s="34"/>
      <c r="C18" s="34"/>
      <c r="D18" s="35"/>
      <c r="E18" s="35"/>
      <c r="F18" s="36"/>
    </row>
    <row r="19" spans="1:6" x14ac:dyDescent="0.25">
      <c r="A19" s="33">
        <v>17</v>
      </c>
      <c r="B19" s="34"/>
      <c r="C19" s="34"/>
      <c r="D19" s="35"/>
      <c r="E19" s="35"/>
      <c r="F19" s="36"/>
    </row>
    <row r="20" spans="1:6" x14ac:dyDescent="0.25">
      <c r="A20" s="33">
        <v>18</v>
      </c>
      <c r="B20" s="33"/>
      <c r="C20" s="33"/>
      <c r="D20" s="35"/>
      <c r="E20" s="35"/>
      <c r="F20" s="36"/>
    </row>
    <row r="21" spans="1:6" x14ac:dyDescent="0.25">
      <c r="A21" s="33">
        <v>19</v>
      </c>
      <c r="B21" s="33"/>
      <c r="C21" s="33"/>
      <c r="D21" s="35"/>
      <c r="E21" s="35"/>
      <c r="F21" s="36"/>
    </row>
  </sheetData>
  <mergeCells count="1">
    <mergeCell ref="D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320F8-D46F-4631-8757-B50DCAA192C3}">
  <dimension ref="A1:H62"/>
  <sheetViews>
    <sheetView topLeftCell="A49" zoomScale="220" zoomScaleNormal="220" workbookViewId="0">
      <selection activeCell="C43" sqref="C43:E43"/>
    </sheetView>
  </sheetViews>
  <sheetFormatPr defaultRowHeight="15" x14ac:dyDescent="0.25"/>
  <cols>
    <col min="1" max="1" width="4.28515625" customWidth="1"/>
    <col min="2" max="2" width="3.5703125" customWidth="1"/>
    <col min="3" max="3" width="2.5703125" customWidth="1"/>
    <col min="4" max="4" width="26.42578125" customWidth="1"/>
  </cols>
  <sheetData>
    <row r="1" spans="1:6" x14ac:dyDescent="0.25">
      <c r="A1" t="s">
        <v>93</v>
      </c>
      <c r="B1" t="s">
        <v>106</v>
      </c>
    </row>
    <row r="2" spans="1:6" x14ac:dyDescent="0.25">
      <c r="B2" s="30" t="s">
        <v>96</v>
      </c>
    </row>
    <row r="3" spans="1:6" x14ac:dyDescent="0.25">
      <c r="B3" s="30" t="s">
        <v>94</v>
      </c>
    </row>
    <row r="4" spans="1:6" x14ac:dyDescent="0.25">
      <c r="B4" s="30" t="s">
        <v>95</v>
      </c>
    </row>
    <row r="5" spans="1:6" x14ac:dyDescent="0.25">
      <c r="B5" s="30" t="s">
        <v>97</v>
      </c>
    </row>
    <row r="7" spans="1:6" ht="15.75" thickBot="1" x14ac:dyDescent="0.3">
      <c r="A7" t="s">
        <v>98</v>
      </c>
      <c r="B7" t="s">
        <v>118</v>
      </c>
    </row>
    <row r="8" spans="1:6" ht="15.75" thickBot="1" x14ac:dyDescent="0.3">
      <c r="B8" s="16" t="s">
        <v>32</v>
      </c>
      <c r="C8" s="17"/>
      <c r="D8" s="39"/>
      <c r="E8" s="18" t="s">
        <v>33</v>
      </c>
      <c r="F8" s="18" t="s">
        <v>33</v>
      </c>
    </row>
    <row r="9" spans="1:6" x14ac:dyDescent="0.25">
      <c r="B9" s="5" t="s">
        <v>99</v>
      </c>
      <c r="D9" s="7"/>
      <c r="E9" s="19"/>
      <c r="F9" s="19">
        <f>8000*75</f>
        <v>600000</v>
      </c>
    </row>
    <row r="10" spans="1:6" x14ac:dyDescent="0.25">
      <c r="B10" s="20" t="s">
        <v>100</v>
      </c>
      <c r="D10" s="7"/>
      <c r="E10" s="19"/>
      <c r="F10" s="19"/>
    </row>
    <row r="11" spans="1:6" x14ac:dyDescent="0.25">
      <c r="B11" s="5"/>
      <c r="C11" t="s">
        <v>39</v>
      </c>
      <c r="D11" s="7"/>
      <c r="E11" s="19">
        <v>0</v>
      </c>
      <c r="F11" s="19"/>
    </row>
    <row r="12" spans="1:6" x14ac:dyDescent="0.25">
      <c r="B12" s="5"/>
      <c r="C12" t="s">
        <v>101</v>
      </c>
      <c r="D12" s="7"/>
      <c r="E12" s="19">
        <f>40*10000</f>
        <v>400000</v>
      </c>
      <c r="F12" s="19"/>
    </row>
    <row r="13" spans="1:6" x14ac:dyDescent="0.25">
      <c r="B13" s="5"/>
      <c r="C13" t="s">
        <v>44</v>
      </c>
      <c r="D13" s="7"/>
      <c r="E13" s="22">
        <f>-(40*2000)</f>
        <v>-80000</v>
      </c>
      <c r="F13" s="19"/>
    </row>
    <row r="14" spans="1:6" x14ac:dyDescent="0.25">
      <c r="B14" s="5"/>
      <c r="D14" s="7"/>
      <c r="E14" s="19"/>
      <c r="F14" s="22">
        <f>-SUM(E11:E13)</f>
        <v>-320000</v>
      </c>
    </row>
    <row r="15" spans="1:6" x14ac:dyDescent="0.25">
      <c r="B15" s="5" t="s">
        <v>102</v>
      </c>
      <c r="D15" s="7"/>
      <c r="E15" s="19"/>
      <c r="F15" s="19">
        <f>SUM(F9:F14)</f>
        <v>280000</v>
      </c>
    </row>
    <row r="16" spans="1:6" x14ac:dyDescent="0.25">
      <c r="B16" s="20" t="s">
        <v>49</v>
      </c>
      <c r="D16" s="7"/>
      <c r="E16" s="19"/>
      <c r="F16" s="19"/>
    </row>
    <row r="17" spans="1:6" x14ac:dyDescent="0.25">
      <c r="B17" s="5"/>
      <c r="C17" t="s">
        <v>103</v>
      </c>
      <c r="D17" s="7"/>
      <c r="E17" s="19">
        <f>6*8000</f>
        <v>48000</v>
      </c>
      <c r="F17" s="19"/>
    </row>
    <row r="18" spans="1:6" x14ac:dyDescent="0.25">
      <c r="B18" s="5"/>
      <c r="C18" t="s">
        <v>104</v>
      </c>
      <c r="D18" s="7"/>
      <c r="E18" s="22">
        <v>200000</v>
      </c>
      <c r="F18" s="19"/>
    </row>
    <row r="19" spans="1:6" x14ac:dyDescent="0.25">
      <c r="B19" s="5"/>
      <c r="D19" s="7"/>
      <c r="E19" s="19"/>
      <c r="F19" s="19">
        <f>-SUM(E17:E18)</f>
        <v>-248000</v>
      </c>
    </row>
    <row r="20" spans="1:6" ht="15.75" thickBot="1" x14ac:dyDescent="0.3">
      <c r="B20" s="5" t="s">
        <v>55</v>
      </c>
      <c r="D20" s="7"/>
      <c r="E20" s="19"/>
      <c r="F20" s="38">
        <f>SUM(F15:F19)</f>
        <v>32000</v>
      </c>
    </row>
    <row r="21" spans="1:6" ht="16.5" thickTop="1" thickBot="1" x14ac:dyDescent="0.3">
      <c r="B21" s="24"/>
      <c r="C21" s="10"/>
      <c r="D21" s="12"/>
      <c r="E21" s="25"/>
      <c r="F21" s="25"/>
    </row>
    <row r="22" spans="1:6" x14ac:dyDescent="0.25">
      <c r="E22" s="6"/>
      <c r="F22" s="6"/>
    </row>
    <row r="23" spans="1:6" x14ac:dyDescent="0.25">
      <c r="A23" t="s">
        <v>105</v>
      </c>
      <c r="B23" t="s">
        <v>107</v>
      </c>
      <c r="E23" s="6"/>
      <c r="F23" s="6"/>
    </row>
    <row r="24" spans="1:6" x14ac:dyDescent="0.25">
      <c r="B24" s="30" t="s">
        <v>108</v>
      </c>
      <c r="E24" s="6"/>
      <c r="F24" s="6"/>
    </row>
    <row r="25" spans="1:6" x14ac:dyDescent="0.25">
      <c r="B25" s="30" t="s">
        <v>109</v>
      </c>
      <c r="E25" s="6"/>
      <c r="F25" s="6"/>
    </row>
    <row r="26" spans="1:6" x14ac:dyDescent="0.25">
      <c r="B26" s="30" t="s">
        <v>110</v>
      </c>
    </row>
    <row r="27" spans="1:6" x14ac:dyDescent="0.25">
      <c r="B27" s="30" t="s">
        <v>111</v>
      </c>
    </row>
    <row r="30" spans="1:6" ht="15.75" thickBot="1" x14ac:dyDescent="0.3">
      <c r="B30" t="s">
        <v>119</v>
      </c>
    </row>
    <row r="31" spans="1:6" ht="15.75" thickBot="1" x14ac:dyDescent="0.3">
      <c r="B31" s="16" t="s">
        <v>32</v>
      </c>
      <c r="C31" s="17"/>
      <c r="D31" s="39"/>
      <c r="E31" s="18" t="s">
        <v>33</v>
      </c>
      <c r="F31" s="18" t="s">
        <v>33</v>
      </c>
    </row>
    <row r="32" spans="1:6" x14ac:dyDescent="0.25">
      <c r="B32" s="5" t="s">
        <v>113</v>
      </c>
      <c r="D32" s="7"/>
      <c r="E32" s="19"/>
      <c r="F32" s="19">
        <f>8000*75</f>
        <v>600000</v>
      </c>
    </row>
    <row r="33" spans="2:8" x14ac:dyDescent="0.25">
      <c r="B33" s="20" t="s">
        <v>114</v>
      </c>
      <c r="D33" s="7"/>
      <c r="E33" s="19"/>
      <c r="F33" s="19"/>
      <c r="H33">
        <f>10*2000</f>
        <v>20000</v>
      </c>
    </row>
    <row r="34" spans="2:8" x14ac:dyDescent="0.25">
      <c r="B34" s="5"/>
      <c r="C34" s="40" t="s">
        <v>115</v>
      </c>
      <c r="D34" s="7"/>
      <c r="E34" s="19"/>
      <c r="F34" s="19"/>
    </row>
    <row r="35" spans="2:8" x14ac:dyDescent="0.25">
      <c r="B35" s="5"/>
      <c r="D35" s="7" t="s">
        <v>39</v>
      </c>
      <c r="E35" s="19">
        <v>0</v>
      </c>
      <c r="F35" s="19"/>
    </row>
    <row r="36" spans="2:8" x14ac:dyDescent="0.25">
      <c r="B36" s="5"/>
      <c r="D36" s="7" t="s">
        <v>117</v>
      </c>
      <c r="E36" s="19">
        <f>30*10000</f>
        <v>300000</v>
      </c>
      <c r="F36" s="19"/>
    </row>
    <row r="37" spans="2:8" x14ac:dyDescent="0.25">
      <c r="B37" s="5"/>
      <c r="D37" s="7" t="s">
        <v>44</v>
      </c>
      <c r="E37" s="21">
        <f>-2000*30</f>
        <v>-60000</v>
      </c>
      <c r="F37" s="19"/>
    </row>
    <row r="38" spans="2:8" x14ac:dyDescent="0.25">
      <c r="B38" s="5"/>
      <c r="D38" s="7"/>
      <c r="E38" s="19">
        <f>SUM(E35:E37)</f>
        <v>240000</v>
      </c>
      <c r="F38" s="19"/>
    </row>
    <row r="39" spans="2:8" x14ac:dyDescent="0.25">
      <c r="B39" s="5"/>
      <c r="C39" t="s">
        <v>116</v>
      </c>
      <c r="D39" s="7"/>
      <c r="E39" s="21">
        <f>6*8000</f>
        <v>48000</v>
      </c>
      <c r="F39" s="19"/>
    </row>
    <row r="40" spans="2:8" x14ac:dyDescent="0.25">
      <c r="B40" s="5"/>
      <c r="D40" s="7"/>
      <c r="E40" s="19"/>
      <c r="F40" s="21">
        <f>-SUM(E38:E39)</f>
        <v>-288000</v>
      </c>
    </row>
    <row r="41" spans="2:8" x14ac:dyDescent="0.25">
      <c r="B41" s="5" t="s">
        <v>46</v>
      </c>
      <c r="D41" s="7"/>
      <c r="E41" s="19"/>
      <c r="F41" s="19">
        <f>SUM(F32:F40)</f>
        <v>312000</v>
      </c>
    </row>
    <row r="42" spans="2:8" x14ac:dyDescent="0.25">
      <c r="B42" s="20" t="s">
        <v>120</v>
      </c>
      <c r="D42" s="7"/>
      <c r="E42" s="19"/>
      <c r="F42" s="19"/>
    </row>
    <row r="43" spans="2:8" x14ac:dyDescent="0.25">
      <c r="B43" s="5"/>
      <c r="C43" t="s">
        <v>121</v>
      </c>
      <c r="D43" s="7"/>
      <c r="E43" s="19">
        <v>100000</v>
      </c>
      <c r="F43" s="19"/>
    </row>
    <row r="44" spans="2:8" x14ac:dyDescent="0.25">
      <c r="B44" s="5"/>
      <c r="C44" t="s">
        <v>122</v>
      </c>
      <c r="D44" s="7"/>
      <c r="E44" s="21">
        <v>200000</v>
      </c>
      <c r="F44" s="19"/>
    </row>
    <row r="45" spans="2:8" x14ac:dyDescent="0.25">
      <c r="B45" s="5"/>
      <c r="D45" s="7"/>
      <c r="E45" s="19"/>
      <c r="F45" s="21">
        <f>-SUM(E43:E44)</f>
        <v>-300000</v>
      </c>
    </row>
    <row r="46" spans="2:8" ht="15.75" thickBot="1" x14ac:dyDescent="0.3">
      <c r="B46" s="5" t="s">
        <v>55</v>
      </c>
      <c r="D46" s="7"/>
      <c r="E46" s="19"/>
      <c r="F46" s="41">
        <f>SUM(F41:F45)</f>
        <v>12000</v>
      </c>
    </row>
    <row r="47" spans="2:8" ht="16.5" thickTop="1" thickBot="1" x14ac:dyDescent="0.3">
      <c r="B47" s="24"/>
      <c r="C47" s="10"/>
      <c r="D47" s="12"/>
      <c r="E47" s="25"/>
      <c r="F47" s="25"/>
    </row>
    <row r="55" spans="4:5" x14ac:dyDescent="0.25">
      <c r="D55" t="s">
        <v>123</v>
      </c>
      <c r="E55" t="s">
        <v>124</v>
      </c>
    </row>
    <row r="57" spans="4:5" x14ac:dyDescent="0.25">
      <c r="D57" t="s">
        <v>125</v>
      </c>
      <c r="E57" t="s">
        <v>127</v>
      </c>
    </row>
    <row r="58" spans="4:5" x14ac:dyDescent="0.25">
      <c r="D58" t="s">
        <v>126</v>
      </c>
    </row>
    <row r="60" spans="4:5" x14ac:dyDescent="0.25">
      <c r="D60" t="s">
        <v>128</v>
      </c>
      <c r="E60" t="s">
        <v>128</v>
      </c>
    </row>
    <row r="62" spans="4:5" x14ac:dyDescent="0.25">
      <c r="D62" t="s">
        <v>129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72FE1-9078-47C0-B975-2E11C3B38EA7}">
  <dimension ref="A1:H51"/>
  <sheetViews>
    <sheetView tabSelected="1" topLeftCell="A7" workbookViewId="0">
      <selection sqref="A1:XFD1048576"/>
    </sheetView>
  </sheetViews>
  <sheetFormatPr defaultRowHeight="15" x14ac:dyDescent="0.25"/>
  <cols>
    <col min="3" max="3" width="4.85546875" customWidth="1"/>
    <col min="4" max="4" width="5.85546875" customWidth="1"/>
    <col min="5" max="5" width="27.140625" customWidth="1"/>
  </cols>
  <sheetData>
    <row r="1" spans="1:8" x14ac:dyDescent="0.25">
      <c r="A1">
        <v>1</v>
      </c>
    </row>
    <row r="2" spans="1:8" x14ac:dyDescent="0.25">
      <c r="B2" t="s">
        <v>130</v>
      </c>
      <c r="C2" t="s">
        <v>131</v>
      </c>
    </row>
    <row r="3" spans="1:8" x14ac:dyDescent="0.25">
      <c r="D3" s="43" t="s">
        <v>132</v>
      </c>
      <c r="E3" t="s">
        <v>133</v>
      </c>
    </row>
    <row r="5" spans="1:8" x14ac:dyDescent="0.25">
      <c r="B5" t="s">
        <v>134</v>
      </c>
      <c r="C5" t="s">
        <v>135</v>
      </c>
    </row>
    <row r="6" spans="1:8" x14ac:dyDescent="0.25">
      <c r="D6" s="43" t="s">
        <v>132</v>
      </c>
      <c r="E6" t="s">
        <v>136</v>
      </c>
    </row>
    <row r="7" spans="1:8" x14ac:dyDescent="0.25">
      <c r="A7">
        <v>2</v>
      </c>
    </row>
    <row r="8" spans="1:8" ht="15.75" thickBot="1" x14ac:dyDescent="0.3">
      <c r="B8" t="s">
        <v>130</v>
      </c>
      <c r="C8" t="s">
        <v>137</v>
      </c>
    </row>
    <row r="9" spans="1:8" ht="15.75" thickBot="1" x14ac:dyDescent="0.3">
      <c r="C9" s="16" t="s">
        <v>32</v>
      </c>
      <c r="D9" s="17"/>
      <c r="E9" s="17"/>
      <c r="F9" s="17"/>
      <c r="G9" s="44" t="s">
        <v>33</v>
      </c>
      <c r="H9" s="45" t="s">
        <v>33</v>
      </c>
    </row>
    <row r="10" spans="1:8" x14ac:dyDescent="0.25">
      <c r="C10" s="5" t="s">
        <v>138</v>
      </c>
      <c r="D10" t="s">
        <v>139</v>
      </c>
      <c r="G10" s="46"/>
      <c r="H10" s="7">
        <f>10000*150</f>
        <v>1500000</v>
      </c>
    </row>
    <row r="11" spans="1:8" x14ac:dyDescent="0.25">
      <c r="C11" s="20" t="s">
        <v>37</v>
      </c>
      <c r="G11" s="46"/>
      <c r="H11" s="7"/>
    </row>
    <row r="12" spans="1:8" x14ac:dyDescent="0.25">
      <c r="C12" s="5"/>
      <c r="D12" t="s">
        <v>140</v>
      </c>
      <c r="G12" s="46">
        <v>0</v>
      </c>
      <c r="H12" s="7"/>
    </row>
    <row r="13" spans="1:8" x14ac:dyDescent="0.25">
      <c r="C13" s="5"/>
      <c r="D13" t="s">
        <v>101</v>
      </c>
      <c r="G13" s="46">
        <f>80*12000</f>
        <v>960000</v>
      </c>
      <c r="H13" s="7"/>
    </row>
    <row r="14" spans="1:8" x14ac:dyDescent="0.25">
      <c r="C14" s="5"/>
      <c r="D14" t="s">
        <v>44</v>
      </c>
      <c r="G14" s="46">
        <f>-2000*80</f>
        <v>-160000</v>
      </c>
      <c r="H14" s="7"/>
    </row>
    <row r="15" spans="1:8" x14ac:dyDescent="0.25">
      <c r="C15" s="5"/>
      <c r="G15" s="46"/>
      <c r="H15" s="47">
        <f>-SUM(G12:G14)</f>
        <v>-800000</v>
      </c>
    </row>
    <row r="16" spans="1:8" x14ac:dyDescent="0.25">
      <c r="C16" s="5" t="s">
        <v>102</v>
      </c>
      <c r="G16" s="46"/>
      <c r="H16" s="7">
        <f>SUM(H10:H15)</f>
        <v>700000</v>
      </c>
    </row>
    <row r="17" spans="2:8" x14ac:dyDescent="0.25">
      <c r="C17" s="20" t="s">
        <v>141</v>
      </c>
      <c r="G17" s="46"/>
      <c r="H17" s="7"/>
    </row>
    <row r="18" spans="2:8" x14ac:dyDescent="0.25">
      <c r="C18" s="5"/>
      <c r="D18" t="s">
        <v>142</v>
      </c>
      <c r="G18" s="46">
        <f>0.12*H10</f>
        <v>180000</v>
      </c>
      <c r="H18" s="7"/>
    </row>
    <row r="19" spans="2:8" x14ac:dyDescent="0.25">
      <c r="C19" s="5"/>
      <c r="D19" t="s">
        <v>122</v>
      </c>
      <c r="G19" s="46">
        <v>470000</v>
      </c>
      <c r="H19" s="7"/>
    </row>
    <row r="20" spans="2:8" x14ac:dyDescent="0.25">
      <c r="C20" s="5"/>
      <c r="G20" s="46"/>
      <c r="H20" s="48">
        <f>-SUM(G18:G19)</f>
        <v>-650000</v>
      </c>
    </row>
    <row r="21" spans="2:8" ht="15.75" thickBot="1" x14ac:dyDescent="0.3">
      <c r="C21" s="24" t="s">
        <v>55</v>
      </c>
      <c r="D21" s="10"/>
      <c r="E21" s="10"/>
      <c r="F21" s="10"/>
      <c r="G21" s="49"/>
      <c r="H21" s="12">
        <f>SUM(H16:H20)</f>
        <v>50000</v>
      </c>
    </row>
    <row r="23" spans="2:8" ht="15.75" thickBot="1" x14ac:dyDescent="0.3">
      <c r="B23" t="s">
        <v>134</v>
      </c>
      <c r="C23" t="s">
        <v>143</v>
      </c>
    </row>
    <row r="24" spans="2:8" ht="15.75" thickBot="1" x14ac:dyDescent="0.3">
      <c r="C24" s="16" t="s">
        <v>32</v>
      </c>
      <c r="D24" s="17"/>
      <c r="E24" s="17"/>
      <c r="F24" s="39"/>
      <c r="G24" s="45" t="s">
        <v>33</v>
      </c>
      <c r="H24" s="45" t="s">
        <v>33</v>
      </c>
    </row>
    <row r="25" spans="2:8" x14ac:dyDescent="0.25">
      <c r="C25" s="5" t="s">
        <v>138</v>
      </c>
      <c r="D25" t="s">
        <v>139</v>
      </c>
      <c r="F25" s="7"/>
      <c r="G25" s="7"/>
      <c r="H25" s="7">
        <f>10000*150</f>
        <v>1500000</v>
      </c>
    </row>
    <row r="26" spans="2:8" x14ac:dyDescent="0.25">
      <c r="C26" s="20" t="s">
        <v>114</v>
      </c>
      <c r="F26" s="7"/>
      <c r="G26" s="7"/>
      <c r="H26" s="7"/>
    </row>
    <row r="27" spans="2:8" x14ac:dyDescent="0.25">
      <c r="C27" s="5"/>
      <c r="D27" t="s">
        <v>115</v>
      </c>
      <c r="F27" s="7"/>
      <c r="G27" s="7"/>
      <c r="H27" s="7"/>
    </row>
    <row r="28" spans="2:8" x14ac:dyDescent="0.25">
      <c r="C28" s="5"/>
      <c r="E28" t="s">
        <v>140</v>
      </c>
      <c r="F28" s="7"/>
      <c r="G28" s="7">
        <v>0</v>
      </c>
      <c r="H28" s="7"/>
    </row>
    <row r="29" spans="2:8" x14ac:dyDescent="0.25">
      <c r="C29" s="5"/>
      <c r="E29" t="s">
        <v>144</v>
      </c>
      <c r="F29" s="7"/>
      <c r="G29" s="7">
        <f>50*12000</f>
        <v>600000</v>
      </c>
      <c r="H29" s="7"/>
    </row>
    <row r="30" spans="2:8" x14ac:dyDescent="0.25">
      <c r="C30" s="5"/>
      <c r="E30" t="s">
        <v>44</v>
      </c>
      <c r="F30" s="7"/>
      <c r="G30" s="47">
        <f>-(2000*50)</f>
        <v>-100000</v>
      </c>
      <c r="H30" s="7"/>
    </row>
    <row r="31" spans="2:8" x14ac:dyDescent="0.25">
      <c r="C31" s="5"/>
      <c r="F31" s="7"/>
      <c r="G31" s="7">
        <f>SUM(G28:G30)</f>
        <v>500000</v>
      </c>
      <c r="H31" s="7"/>
    </row>
    <row r="32" spans="2:8" x14ac:dyDescent="0.25">
      <c r="C32" s="5"/>
      <c r="D32" t="s">
        <v>142</v>
      </c>
      <c r="F32" s="7"/>
      <c r="G32" s="47">
        <f>0.12*H25</f>
        <v>180000</v>
      </c>
      <c r="H32" s="7"/>
    </row>
    <row r="33" spans="3:8" x14ac:dyDescent="0.25">
      <c r="C33" s="5"/>
      <c r="F33" s="7"/>
      <c r="G33" s="7"/>
      <c r="H33" s="47">
        <f>-SUM(G31:G32)</f>
        <v>-680000</v>
      </c>
    </row>
    <row r="34" spans="3:8" x14ac:dyDescent="0.25">
      <c r="C34" s="5" t="s">
        <v>46</v>
      </c>
      <c r="F34" s="7"/>
      <c r="G34" s="7"/>
      <c r="H34" s="7">
        <f>SUM(H25:H33)</f>
        <v>820000</v>
      </c>
    </row>
    <row r="35" spans="3:8" x14ac:dyDescent="0.25">
      <c r="C35" s="20" t="s">
        <v>48</v>
      </c>
      <c r="F35" s="7"/>
      <c r="G35" s="7"/>
      <c r="H35" s="7"/>
    </row>
    <row r="36" spans="3:8" x14ac:dyDescent="0.25">
      <c r="C36" s="5"/>
      <c r="D36" t="s">
        <v>145</v>
      </c>
      <c r="F36" s="7"/>
      <c r="G36" s="7">
        <v>360000</v>
      </c>
      <c r="H36" s="7"/>
    </row>
    <row r="37" spans="3:8" x14ac:dyDescent="0.25">
      <c r="C37" s="5"/>
      <c r="D37" t="s">
        <v>122</v>
      </c>
      <c r="F37" s="7"/>
      <c r="G37" s="47">
        <v>470000</v>
      </c>
      <c r="H37" s="7"/>
    </row>
    <row r="38" spans="3:8" x14ac:dyDescent="0.25">
      <c r="C38" s="5"/>
      <c r="F38" s="7"/>
      <c r="G38" s="7"/>
      <c r="H38" s="47">
        <f>-SUM(G36:G37)</f>
        <v>-830000</v>
      </c>
    </row>
    <row r="39" spans="3:8" ht="15.75" thickBot="1" x14ac:dyDescent="0.3">
      <c r="C39" s="24" t="s">
        <v>146</v>
      </c>
      <c r="D39" s="10"/>
      <c r="E39" s="10"/>
      <c r="F39" s="12"/>
      <c r="G39" s="12"/>
      <c r="H39" s="12">
        <f>SUM(H34:H38)</f>
        <v>-10000</v>
      </c>
    </row>
    <row r="42" spans="3:8" ht="15.75" thickBot="1" x14ac:dyDescent="0.3">
      <c r="C42" t="s">
        <v>147</v>
      </c>
    </row>
    <row r="43" spans="3:8" ht="15.75" thickBot="1" x14ac:dyDescent="0.3">
      <c r="C43" s="16" t="s">
        <v>32</v>
      </c>
      <c r="D43" s="17"/>
      <c r="E43" s="17"/>
      <c r="F43" s="17"/>
      <c r="G43" s="17"/>
      <c r="H43" s="50" t="s">
        <v>33</v>
      </c>
    </row>
    <row r="44" spans="3:8" x14ac:dyDescent="0.25">
      <c r="C44" s="1" t="s">
        <v>148</v>
      </c>
      <c r="D44" s="2"/>
      <c r="E44" s="2"/>
      <c r="F44" s="2"/>
      <c r="G44" s="2"/>
      <c r="H44" s="51"/>
    </row>
    <row r="45" spans="3:8" x14ac:dyDescent="0.25">
      <c r="C45" s="5"/>
      <c r="D45" t="s">
        <v>149</v>
      </c>
      <c r="H45" s="52">
        <v>50000</v>
      </c>
    </row>
    <row r="46" spans="3:8" x14ac:dyDescent="0.25">
      <c r="C46" s="5"/>
      <c r="D46" t="s">
        <v>150</v>
      </c>
      <c r="H46" s="52">
        <v>-10000</v>
      </c>
    </row>
    <row r="47" spans="3:8" ht="15.75" thickBot="1" x14ac:dyDescent="0.3">
      <c r="C47" s="5"/>
      <c r="H47" s="41">
        <f>30*2000</f>
        <v>60000</v>
      </c>
    </row>
    <row r="48" spans="3:8" ht="15.75" thickTop="1" x14ac:dyDescent="0.25">
      <c r="C48" s="5"/>
      <c r="H48" s="52"/>
    </row>
    <row r="49" spans="3:8" x14ac:dyDescent="0.25">
      <c r="C49" s="5" t="s">
        <v>151</v>
      </c>
      <c r="H49" s="52"/>
    </row>
    <row r="50" spans="3:8" ht="15.75" thickBot="1" x14ac:dyDescent="0.3">
      <c r="C50" s="5"/>
      <c r="E50" t="s">
        <v>152</v>
      </c>
      <c r="H50" s="41">
        <f>30*2000</f>
        <v>60000</v>
      </c>
    </row>
    <row r="51" spans="3:8" ht="16.5" thickTop="1" thickBot="1" x14ac:dyDescent="0.3">
      <c r="C51" s="24"/>
      <c r="D51" s="10"/>
      <c r="E51" s="10"/>
      <c r="F51" s="10"/>
      <c r="G51" s="10"/>
      <c r="H51" s="4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Basics</vt:lpstr>
      <vt:lpstr>P2-13</vt:lpstr>
      <vt:lpstr>P7-12</vt:lpstr>
      <vt:lpstr>P7-15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 Hossain</dc:creator>
  <cp:lastModifiedBy>Saif Hossain</cp:lastModifiedBy>
  <dcterms:created xsi:type="dcterms:W3CDTF">2015-06-05T18:17:20Z</dcterms:created>
  <dcterms:modified xsi:type="dcterms:W3CDTF">2024-12-23T15:16:30Z</dcterms:modified>
</cp:coreProperties>
</file>