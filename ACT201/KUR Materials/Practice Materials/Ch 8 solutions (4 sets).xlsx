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EACHING (BRAC Uni) 2\8-fall 2023\exams\final\ch 8 tausif\"/>
    </mc:Choice>
  </mc:AlternateContent>
  <xr:revisionPtr revIDLastSave="0" documentId="13_ncr:1_{14FE607F-C0D5-4C5F-9717-DFC6B8521668}" xr6:coauthVersionLast="47" xr6:coauthVersionMax="47" xr10:uidLastSave="{00000000-0000-0000-0000-000000000000}"/>
  <bookViews>
    <workbookView xWindow="-110" yWindow="-110" windowWidth="19420" windowHeight="10300" xr2:uid="{5F3B3D81-7847-4B5B-8ED2-2B8B83A48B37}"/>
  </bookViews>
  <sheets>
    <sheet name="fall set 1" sheetId="4" r:id="rId1"/>
    <sheet name="fall set 2" sheetId="3" r:id="rId2"/>
    <sheet name="fall set 3" sheetId="2" r:id="rId3"/>
    <sheet name="fall set 4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6" i="4" l="1"/>
  <c r="A75" i="4"/>
  <c r="A74" i="4"/>
  <c r="D70" i="4"/>
  <c r="C64" i="4"/>
  <c r="C48" i="4"/>
  <c r="D49" i="4" s="1"/>
  <c r="D57" i="4" s="1"/>
  <c r="C36" i="4"/>
  <c r="C75" i="4" s="1"/>
  <c r="B36" i="4"/>
  <c r="E35" i="4"/>
  <c r="E33" i="4"/>
  <c r="E23" i="4"/>
  <c r="C63" i="4" s="1"/>
  <c r="D16" i="4"/>
  <c r="B54" i="4" s="1"/>
  <c r="C54" i="4" s="1"/>
  <c r="D55" i="4" s="1"/>
  <c r="E9" i="4"/>
  <c r="E8" i="4"/>
  <c r="E10" i="4" s="1"/>
  <c r="A76" i="3"/>
  <c r="A75" i="3"/>
  <c r="A74" i="3"/>
  <c r="D70" i="3"/>
  <c r="C64" i="3"/>
  <c r="C48" i="3"/>
  <c r="D49" i="3" s="1"/>
  <c r="D57" i="3" s="1"/>
  <c r="C36" i="3"/>
  <c r="C75" i="3" s="1"/>
  <c r="B36" i="3"/>
  <c r="C74" i="3" s="1"/>
  <c r="E35" i="3"/>
  <c r="E33" i="3"/>
  <c r="E23" i="3"/>
  <c r="C63" i="3" s="1"/>
  <c r="D16" i="3"/>
  <c r="B54" i="3" s="1"/>
  <c r="C54" i="3" s="1"/>
  <c r="D55" i="3" s="1"/>
  <c r="E9" i="3"/>
  <c r="E8" i="3"/>
  <c r="E10" i="3" s="1"/>
  <c r="A76" i="2"/>
  <c r="A75" i="2"/>
  <c r="A74" i="2"/>
  <c r="D70" i="2"/>
  <c r="C64" i="2"/>
  <c r="B54" i="2"/>
  <c r="C54" i="2" s="1"/>
  <c r="D55" i="2" s="1"/>
  <c r="D57" i="2" s="1"/>
  <c r="D49" i="2"/>
  <c r="C47" i="2"/>
  <c r="C36" i="2"/>
  <c r="C75" i="2" s="1"/>
  <c r="B36" i="2"/>
  <c r="C74" i="2" s="1"/>
  <c r="E35" i="2"/>
  <c r="E33" i="2"/>
  <c r="E23" i="2"/>
  <c r="C63" i="2" s="1"/>
  <c r="E18" i="2"/>
  <c r="D16" i="2"/>
  <c r="E9" i="2"/>
  <c r="E8" i="2"/>
  <c r="E10" i="2" s="1"/>
  <c r="E19" i="2" s="1"/>
  <c r="E22" i="2" s="1"/>
  <c r="E24" i="2" s="1"/>
  <c r="A76" i="1"/>
  <c r="A75" i="1"/>
  <c r="A74" i="1"/>
  <c r="D70" i="1"/>
  <c r="C64" i="1"/>
  <c r="C62" i="1"/>
  <c r="B54" i="1"/>
  <c r="C54" i="1" s="1"/>
  <c r="D55" i="1" s="1"/>
  <c r="D57" i="1" s="1"/>
  <c r="D49" i="1"/>
  <c r="C36" i="1"/>
  <c r="C75" i="1" s="1"/>
  <c r="B36" i="1"/>
  <c r="C74" i="1" s="1"/>
  <c r="E35" i="1"/>
  <c r="E33" i="1"/>
  <c r="E23" i="1"/>
  <c r="C63" i="1" s="1"/>
  <c r="E18" i="1"/>
  <c r="D17" i="1"/>
  <c r="D16" i="1"/>
  <c r="E9" i="1"/>
  <c r="E8" i="1"/>
  <c r="E10" i="1" s="1"/>
  <c r="E19" i="1" s="1"/>
  <c r="E22" i="1" s="1"/>
  <c r="E24" i="1" s="1"/>
  <c r="E25" i="1" l="1"/>
  <c r="C65" i="1" s="1"/>
  <c r="D66" i="1"/>
  <c r="D71" i="1" s="1"/>
  <c r="E25" i="2"/>
  <c r="C65" i="2" s="1"/>
  <c r="D66" i="2"/>
  <c r="D71" i="2" s="1"/>
  <c r="C74" i="4"/>
  <c r="E18" i="4"/>
  <c r="E19" i="4" s="1"/>
  <c r="E22" i="4" s="1"/>
  <c r="E24" i="4" s="1"/>
  <c r="E18" i="3"/>
  <c r="E19" i="3" s="1"/>
  <c r="E22" i="3" s="1"/>
  <c r="E24" i="3" s="1"/>
  <c r="E25" i="4" l="1"/>
  <c r="C65" i="4" s="1"/>
  <c r="D66" i="4" s="1"/>
  <c r="D71" i="4" s="1"/>
  <c r="E26" i="4"/>
  <c r="D34" i="4" s="1"/>
  <c r="E25" i="3"/>
  <c r="C65" i="3" s="1"/>
  <c r="D66" i="3" s="1"/>
  <c r="D71" i="3" s="1"/>
  <c r="E26" i="2"/>
  <c r="D34" i="2" s="1"/>
  <c r="E26" i="1"/>
  <c r="D34" i="1" s="1"/>
  <c r="D36" i="2" l="1"/>
  <c r="E34" i="2"/>
  <c r="E26" i="3"/>
  <c r="D34" i="3" s="1"/>
  <c r="E34" i="4"/>
  <c r="D36" i="4"/>
  <c r="D36" i="1"/>
  <c r="E34" i="1"/>
  <c r="C76" i="1" l="1"/>
  <c r="D77" i="1" s="1"/>
  <c r="D79" i="1" s="1"/>
  <c r="E36" i="1"/>
  <c r="C76" i="2"/>
  <c r="D77" i="2" s="1"/>
  <c r="D79" i="2" s="1"/>
  <c r="E36" i="2"/>
  <c r="C76" i="4"/>
  <c r="D77" i="4" s="1"/>
  <c r="D79" i="4" s="1"/>
  <c r="E36" i="4"/>
  <c r="E34" i="3"/>
  <c r="D36" i="3"/>
  <c r="C76" i="3" l="1"/>
  <c r="D77" i="3" s="1"/>
  <c r="D79" i="3" s="1"/>
  <c r="E36" i="3"/>
</calcChain>
</file>

<file path=xl/sharedStrings.xml><?xml version="1.0" encoding="utf-8"?>
<sst xmlns="http://schemas.openxmlformats.org/spreadsheetml/2006/main" count="268" uniqueCount="87">
  <si>
    <t>Set 4</t>
  </si>
  <si>
    <t>Miami FC Limited</t>
  </si>
  <si>
    <t xml:space="preserve">Income statement </t>
  </si>
  <si>
    <t>For the year ended December 31, 2022</t>
  </si>
  <si>
    <t>Sales Revenue</t>
  </si>
  <si>
    <t xml:space="preserve">Less: Sales Discount </t>
  </si>
  <si>
    <t>Net sales</t>
  </si>
  <si>
    <t xml:space="preserve">Less: Cost of Goods Sold </t>
  </si>
  <si>
    <t>Gross profit</t>
  </si>
  <si>
    <t>Less: Operating expenses</t>
  </si>
  <si>
    <t>Advertising Expense</t>
  </si>
  <si>
    <t xml:space="preserve">Electricity Expense </t>
  </si>
  <si>
    <t xml:space="preserve">Rent Expense </t>
  </si>
  <si>
    <t xml:space="preserve">Salaries Expense </t>
  </si>
  <si>
    <t>Depreciation expense</t>
  </si>
  <si>
    <t>Insurance expense</t>
  </si>
  <si>
    <t>Total operating expenses</t>
  </si>
  <si>
    <t>Income from operations</t>
  </si>
  <si>
    <t>Add: Other income</t>
  </si>
  <si>
    <t>Dividend Revenue</t>
  </si>
  <si>
    <t>EBIT</t>
  </si>
  <si>
    <t>Less: Interest expense</t>
  </si>
  <si>
    <t>EBT</t>
  </si>
  <si>
    <t>Less: Tax</t>
  </si>
  <si>
    <t>Net income</t>
  </si>
  <si>
    <t xml:space="preserve">Stockholders' equity statement </t>
  </si>
  <si>
    <t>Preferred Stock</t>
  </si>
  <si>
    <t>Common Stock</t>
  </si>
  <si>
    <t xml:space="preserve">Retained Earnings </t>
  </si>
  <si>
    <t>Total</t>
  </si>
  <si>
    <t>Balance Jan 1, 2022</t>
  </si>
  <si>
    <t>Add: Net income</t>
  </si>
  <si>
    <t>Less: Cash dividend</t>
  </si>
  <si>
    <t>Balance Dec 31, 2022</t>
  </si>
  <si>
    <t>Balance sheet</t>
  </si>
  <si>
    <t>as at December 31, 2022</t>
  </si>
  <si>
    <t>Assets</t>
  </si>
  <si>
    <t>Current assets</t>
  </si>
  <si>
    <t xml:space="preserve">Cash </t>
  </si>
  <si>
    <t>Supplies</t>
  </si>
  <si>
    <t>Prepaid Insurance</t>
  </si>
  <si>
    <t xml:space="preserve">Merchandise Inventory </t>
  </si>
  <si>
    <t>Total current assets</t>
  </si>
  <si>
    <t>Non-current assets</t>
  </si>
  <si>
    <t>Goodwill</t>
  </si>
  <si>
    <t>Building</t>
  </si>
  <si>
    <t>Accumulated Depreciation- Building</t>
  </si>
  <si>
    <t>Total non-current assets</t>
  </si>
  <si>
    <t>Total assets</t>
  </si>
  <si>
    <t>Liabilities and Stockholders' Equity</t>
  </si>
  <si>
    <t>Liabilities</t>
  </si>
  <si>
    <t>Current liabilities</t>
  </si>
  <si>
    <t xml:space="preserve">Accounts Payable </t>
  </si>
  <si>
    <t>Interest payable</t>
  </si>
  <si>
    <t>Dividend payable</t>
  </si>
  <si>
    <t>Tax payable</t>
  </si>
  <si>
    <t>Total Current liabilities</t>
  </si>
  <si>
    <t>Long-term liabilities</t>
  </si>
  <si>
    <t>3% Notes Payable</t>
  </si>
  <si>
    <t>Total Long-term liabilities</t>
  </si>
  <si>
    <t>Total liabilities</t>
  </si>
  <si>
    <t>Stockholders' Equity</t>
  </si>
  <si>
    <t>Total stockholders' equity</t>
  </si>
  <si>
    <t>Total Liabilities and Stockholders' Equity</t>
  </si>
  <si>
    <t>Set 3</t>
  </si>
  <si>
    <t xml:space="preserve">Less: Sales Returns &amp; Allowances </t>
  </si>
  <si>
    <t xml:space="preserve">Auditor’s Fee </t>
  </si>
  <si>
    <t>Rent Revenue</t>
  </si>
  <si>
    <t>Additional Paid in Capital- Common Stock</t>
  </si>
  <si>
    <t>Accounts Receivable</t>
  </si>
  <si>
    <t xml:space="preserve">Trademark </t>
  </si>
  <si>
    <t>8% Mortgage</t>
  </si>
  <si>
    <t>Set 2</t>
  </si>
  <si>
    <t>Supplies expense</t>
  </si>
  <si>
    <t>Less: Other expense</t>
  </si>
  <si>
    <t>Loss on sale of property</t>
  </si>
  <si>
    <t xml:space="preserve">Supplies </t>
  </si>
  <si>
    <t xml:space="preserve">Patent </t>
  </si>
  <si>
    <t>Delivery Van</t>
  </si>
  <si>
    <r>
      <t>Accumulated</t>
    </r>
    <r>
      <rPr>
        <sz val="11"/>
        <color rgb="FF000000"/>
        <rFont val="Calibri"/>
        <family val="2"/>
        <scheme val="minor"/>
      </rPr>
      <t xml:space="preserve"> Depreciation-Delivery Van</t>
    </r>
  </si>
  <si>
    <t>4% Bond Payable</t>
  </si>
  <si>
    <t>Set 1</t>
  </si>
  <si>
    <t xml:space="preserve">Freight Out Expense </t>
  </si>
  <si>
    <t>Gain on sale of property</t>
  </si>
  <si>
    <t xml:space="preserve">Accounts Receivable </t>
  </si>
  <si>
    <t xml:space="preserve">Land </t>
  </si>
  <si>
    <t>4% Notes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</si>
</sst>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3" fontId="3" fillId="0" borderId="0" xfId="0" applyNumberFormat="1" applyFont="1"/>
    <xf numFmtId="3" fontId="0" fillId="0" borderId="0" xfId="0" applyNumberFormat="1"/>
    <xf numFmtId="0" fontId="4" fillId="0" borderId="0" xfId="0" applyFont="1"/>
    <xf numFmtId="0" fontId="3" fillId="0" borderId="0" xfId="0" applyFont="1" applyAlignment="1">
      <alignment horizontal="left" vertical="center"/>
    </xf>
    <xf numFmtId="1" fontId="0" fillId="0" borderId="0" xfId="0" applyNumberFormat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3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79C70E-BE20-49A5-BC63-389006D553C9}">
  <dimension ref="A1:F81"/>
  <sheetViews>
    <sheetView tabSelected="1" workbookViewId="0">
      <selection activeCell="A8" sqref="A8"/>
    </sheetView>
  </sheetViews>
  <sheetFormatPr defaultRowHeight="14.5" x14ac:dyDescent="0.35"/>
  <cols>
    <col min="1" max="1" width="22.26953125" bestFit="1" customWidth="1"/>
    <col min="4" max="4" width="8.7265625" bestFit="1" customWidth="1"/>
    <col min="5" max="5" width="7.26953125" bestFit="1" customWidth="1"/>
  </cols>
  <sheetData>
    <row r="1" spans="1:6" x14ac:dyDescent="0.35">
      <c r="A1" t="s">
        <v>81</v>
      </c>
    </row>
    <row r="2" spans="1:6" x14ac:dyDescent="0.35">
      <c r="B2" s="1" t="s">
        <v>1</v>
      </c>
    </row>
    <row r="3" spans="1:6" x14ac:dyDescent="0.35">
      <c r="B3" s="1" t="s">
        <v>2</v>
      </c>
    </row>
    <row r="4" spans="1:6" x14ac:dyDescent="0.35">
      <c r="B4" s="1" t="s">
        <v>3</v>
      </c>
    </row>
    <row r="6" spans="1:6" x14ac:dyDescent="0.35">
      <c r="A6" s="2" t="s">
        <v>4</v>
      </c>
      <c r="E6" s="3">
        <v>894000</v>
      </c>
      <c r="F6" s="4"/>
    </row>
    <row r="7" spans="1:6" x14ac:dyDescent="0.35">
      <c r="A7" s="2" t="s">
        <v>5</v>
      </c>
      <c r="E7" s="3">
        <v>48000</v>
      </c>
    </row>
    <row r="8" spans="1:6" x14ac:dyDescent="0.35">
      <c r="A8" t="s">
        <v>6</v>
      </c>
      <c r="E8" s="4">
        <f>E6-E7</f>
        <v>846000</v>
      </c>
    </row>
    <row r="9" spans="1:6" x14ac:dyDescent="0.35">
      <c r="A9" s="2" t="s">
        <v>7</v>
      </c>
      <c r="E9" s="3">
        <f>9900-1000</f>
        <v>8900</v>
      </c>
    </row>
    <row r="10" spans="1:6" x14ac:dyDescent="0.35">
      <c r="A10" s="2" t="s">
        <v>8</v>
      </c>
      <c r="E10" s="4">
        <f>E8-E9</f>
        <v>837100</v>
      </c>
    </row>
    <row r="11" spans="1:6" x14ac:dyDescent="0.35">
      <c r="A11" s="5" t="s">
        <v>9</v>
      </c>
    </row>
    <row r="12" spans="1:6" x14ac:dyDescent="0.35">
      <c r="A12" s="2" t="s">
        <v>66</v>
      </c>
      <c r="D12" s="4">
        <v>3900</v>
      </c>
    </row>
    <row r="13" spans="1:6" x14ac:dyDescent="0.35">
      <c r="A13" s="2" t="s">
        <v>82</v>
      </c>
      <c r="D13" s="2">
        <v>390</v>
      </c>
    </row>
    <row r="14" spans="1:6" x14ac:dyDescent="0.35">
      <c r="A14" s="6" t="s">
        <v>12</v>
      </c>
      <c r="D14" s="3">
        <v>2100</v>
      </c>
    </row>
    <row r="15" spans="1:6" x14ac:dyDescent="0.35">
      <c r="A15" s="2" t="s">
        <v>13</v>
      </c>
      <c r="D15" s="3">
        <v>9400</v>
      </c>
    </row>
    <row r="16" spans="1:6" x14ac:dyDescent="0.35">
      <c r="A16" t="s">
        <v>14</v>
      </c>
      <c r="D16">
        <f>(95900-2900)*0.12</f>
        <v>11160</v>
      </c>
    </row>
    <row r="17" spans="1:5" x14ac:dyDescent="0.35">
      <c r="A17" s="2" t="s">
        <v>73</v>
      </c>
      <c r="D17">
        <v>3000</v>
      </c>
    </row>
    <row r="18" spans="1:5" x14ac:dyDescent="0.35">
      <c r="A18" s="2" t="s">
        <v>16</v>
      </c>
      <c r="E18" s="4">
        <f>SUM(D12:D17)</f>
        <v>29950</v>
      </c>
    </row>
    <row r="19" spans="1:5" x14ac:dyDescent="0.35">
      <c r="A19" s="2" t="s">
        <v>17</v>
      </c>
      <c r="E19" s="4">
        <f>E10-E18</f>
        <v>807150</v>
      </c>
    </row>
    <row r="20" spans="1:5" x14ac:dyDescent="0.35">
      <c r="A20" s="2" t="s">
        <v>18</v>
      </c>
      <c r="E20" s="4"/>
    </row>
    <row r="21" spans="1:5" x14ac:dyDescent="0.35">
      <c r="A21" s="6" t="s">
        <v>83</v>
      </c>
      <c r="E21" s="3">
        <v>4000</v>
      </c>
    </row>
    <row r="22" spans="1:5" x14ac:dyDescent="0.35">
      <c r="A22" s="2" t="s">
        <v>20</v>
      </c>
      <c r="E22" s="4">
        <f>E19+E21</f>
        <v>811150</v>
      </c>
    </row>
    <row r="23" spans="1:5" x14ac:dyDescent="0.35">
      <c r="A23" s="2" t="s">
        <v>21</v>
      </c>
      <c r="E23">
        <f>40000*0.04</f>
        <v>1600</v>
      </c>
    </row>
    <row r="24" spans="1:5" x14ac:dyDescent="0.35">
      <c r="A24" s="2" t="s">
        <v>22</v>
      </c>
      <c r="E24" s="4">
        <f>E22-E23</f>
        <v>809550</v>
      </c>
    </row>
    <row r="25" spans="1:5" x14ac:dyDescent="0.35">
      <c r="A25" s="2" t="s">
        <v>23</v>
      </c>
      <c r="E25">
        <f>E24*0.1</f>
        <v>80955</v>
      </c>
    </row>
    <row r="26" spans="1:5" x14ac:dyDescent="0.35">
      <c r="A26" s="2" t="s">
        <v>24</v>
      </c>
      <c r="E26" s="4">
        <f>E24-E25</f>
        <v>728595</v>
      </c>
    </row>
    <row r="29" spans="1:5" x14ac:dyDescent="0.35">
      <c r="B29" s="1" t="s">
        <v>1</v>
      </c>
    </row>
    <row r="30" spans="1:5" x14ac:dyDescent="0.35">
      <c r="B30" s="1" t="s">
        <v>25</v>
      </c>
    </row>
    <row r="31" spans="1:5" x14ac:dyDescent="0.35">
      <c r="B31" s="1" t="s">
        <v>3</v>
      </c>
    </row>
    <row r="32" spans="1:5" ht="29" x14ac:dyDescent="0.35">
      <c r="B32" s="8" t="s">
        <v>26</v>
      </c>
      <c r="C32" s="8" t="s">
        <v>27</v>
      </c>
      <c r="D32" s="8" t="s">
        <v>28</v>
      </c>
      <c r="E32" s="9" t="s">
        <v>29</v>
      </c>
    </row>
    <row r="33" spans="1:5" x14ac:dyDescent="0.35">
      <c r="A33" t="s">
        <v>30</v>
      </c>
      <c r="B33" s="3">
        <v>100000</v>
      </c>
      <c r="C33" s="3">
        <v>2000</v>
      </c>
      <c r="D33" s="3">
        <v>59000</v>
      </c>
      <c r="E33" s="4">
        <f>SUM(B33:D33)</f>
        <v>161000</v>
      </c>
    </row>
    <row r="34" spans="1:5" x14ac:dyDescent="0.35">
      <c r="A34" t="s">
        <v>31</v>
      </c>
      <c r="D34" s="4">
        <f>E26</f>
        <v>728595</v>
      </c>
      <c r="E34" s="4">
        <f t="shared" ref="E34:E36" si="0">SUM(B34:D34)</f>
        <v>728595</v>
      </c>
    </row>
    <row r="35" spans="1:5" x14ac:dyDescent="0.35">
      <c r="A35" t="s">
        <v>32</v>
      </c>
      <c r="D35" s="4">
        <v>78000</v>
      </c>
      <c r="E35" s="4">
        <f t="shared" si="0"/>
        <v>78000</v>
      </c>
    </row>
    <row r="36" spans="1:5" x14ac:dyDescent="0.35">
      <c r="A36" t="s">
        <v>33</v>
      </c>
      <c r="B36" s="4">
        <f>SUM(B33:B35)</f>
        <v>100000</v>
      </c>
      <c r="C36" s="4">
        <f>SUM(C33:C35)</f>
        <v>2000</v>
      </c>
      <c r="D36" s="4">
        <f>D33+D34-D35</f>
        <v>709595</v>
      </c>
      <c r="E36" s="4">
        <f t="shared" si="0"/>
        <v>811595</v>
      </c>
    </row>
    <row r="39" spans="1:5" x14ac:dyDescent="0.35">
      <c r="B39" s="1" t="s">
        <v>1</v>
      </c>
    </row>
    <row r="40" spans="1:5" x14ac:dyDescent="0.35">
      <c r="B40" s="1" t="s">
        <v>34</v>
      </c>
    </row>
    <row r="41" spans="1:5" x14ac:dyDescent="0.35">
      <c r="B41" s="1" t="s">
        <v>35</v>
      </c>
    </row>
    <row r="42" spans="1:5" x14ac:dyDescent="0.35">
      <c r="B42" s="1"/>
    </row>
    <row r="43" spans="1:5" x14ac:dyDescent="0.35">
      <c r="B43" s="10" t="s">
        <v>36</v>
      </c>
    </row>
    <row r="44" spans="1:5" x14ac:dyDescent="0.35">
      <c r="A44" s="10" t="s">
        <v>37</v>
      </c>
    </row>
    <row r="45" spans="1:5" x14ac:dyDescent="0.35">
      <c r="A45" s="2" t="s">
        <v>38</v>
      </c>
      <c r="C45" s="3">
        <v>675910</v>
      </c>
    </row>
    <row r="46" spans="1:5" x14ac:dyDescent="0.35">
      <c r="A46" s="2" t="s">
        <v>84</v>
      </c>
      <c r="C46" s="3">
        <v>9000</v>
      </c>
    </row>
    <row r="47" spans="1:5" x14ac:dyDescent="0.35">
      <c r="A47" s="2" t="s">
        <v>41</v>
      </c>
      <c r="C47" s="4">
        <v>45700</v>
      </c>
    </row>
    <row r="48" spans="1:5" x14ac:dyDescent="0.35">
      <c r="A48" s="2" t="s">
        <v>76</v>
      </c>
      <c r="C48">
        <f>5200-3000</f>
        <v>2200</v>
      </c>
    </row>
    <row r="49" spans="1:4" x14ac:dyDescent="0.35">
      <c r="A49" s="2" t="s">
        <v>42</v>
      </c>
      <c r="D49" s="4">
        <f>SUM(C45:C48)</f>
        <v>732810</v>
      </c>
    </row>
    <row r="51" spans="1:4" x14ac:dyDescent="0.35">
      <c r="A51" s="1" t="s">
        <v>43</v>
      </c>
    </row>
    <row r="52" spans="1:4" x14ac:dyDescent="0.35">
      <c r="A52" s="2" t="s">
        <v>85</v>
      </c>
      <c r="C52" s="4">
        <v>200000</v>
      </c>
    </row>
    <row r="53" spans="1:4" x14ac:dyDescent="0.35">
      <c r="A53" s="2" t="s">
        <v>78</v>
      </c>
      <c r="B53" s="3">
        <v>95900</v>
      </c>
    </row>
    <row r="54" spans="1:4" ht="43.5" x14ac:dyDescent="0.35">
      <c r="A54" s="9" t="s">
        <v>79</v>
      </c>
      <c r="B54">
        <f>2900+D16</f>
        <v>14060</v>
      </c>
      <c r="C54" s="4">
        <f>B53-B54</f>
        <v>81840</v>
      </c>
    </row>
    <row r="55" spans="1:4" x14ac:dyDescent="0.35">
      <c r="A55" t="s">
        <v>47</v>
      </c>
      <c r="D55" s="4">
        <f>C52+C54</f>
        <v>281840</v>
      </c>
    </row>
    <row r="57" spans="1:4" x14ac:dyDescent="0.35">
      <c r="A57" t="s">
        <v>48</v>
      </c>
      <c r="D57" s="11">
        <f>SUM(D49:D55)</f>
        <v>1014650</v>
      </c>
    </row>
    <row r="59" spans="1:4" x14ac:dyDescent="0.35">
      <c r="B59" s="10" t="s">
        <v>49</v>
      </c>
    </row>
    <row r="60" spans="1:4" x14ac:dyDescent="0.35">
      <c r="A60" s="10" t="s">
        <v>50</v>
      </c>
    </row>
    <row r="61" spans="1:4" x14ac:dyDescent="0.35">
      <c r="A61" s="10" t="s">
        <v>51</v>
      </c>
    </row>
    <row r="62" spans="1:4" x14ac:dyDescent="0.35">
      <c r="A62" s="2" t="s">
        <v>52</v>
      </c>
      <c r="C62" s="3">
        <v>2500</v>
      </c>
    </row>
    <row r="63" spans="1:4" x14ac:dyDescent="0.35">
      <c r="A63" t="s">
        <v>53</v>
      </c>
      <c r="C63">
        <f>E23</f>
        <v>1600</v>
      </c>
    </row>
    <row r="64" spans="1:4" x14ac:dyDescent="0.35">
      <c r="A64" t="s">
        <v>54</v>
      </c>
      <c r="C64">
        <f>D35</f>
        <v>78000</v>
      </c>
    </row>
    <row r="65" spans="1:4" x14ac:dyDescent="0.35">
      <c r="A65" t="s">
        <v>55</v>
      </c>
      <c r="C65">
        <f>E25</f>
        <v>80955</v>
      </c>
    </row>
    <row r="66" spans="1:4" x14ac:dyDescent="0.35">
      <c r="A66" t="s">
        <v>56</v>
      </c>
      <c r="D66" s="4">
        <f>SUM(C62:C65)</f>
        <v>163055</v>
      </c>
    </row>
    <row r="68" spans="1:4" x14ac:dyDescent="0.35">
      <c r="A68" s="10" t="s">
        <v>57</v>
      </c>
    </row>
    <row r="69" spans="1:4" x14ac:dyDescent="0.35">
      <c r="A69" t="s">
        <v>86</v>
      </c>
      <c r="C69" s="3">
        <v>40000</v>
      </c>
    </row>
    <row r="70" spans="1:4" x14ac:dyDescent="0.35">
      <c r="A70" t="s">
        <v>59</v>
      </c>
      <c r="D70" s="4">
        <f>C69</f>
        <v>40000</v>
      </c>
    </row>
    <row r="71" spans="1:4" x14ac:dyDescent="0.35">
      <c r="A71" t="s">
        <v>60</v>
      </c>
      <c r="D71" s="4">
        <f>SUM(D66:D70)</f>
        <v>203055</v>
      </c>
    </row>
    <row r="73" spans="1:4" x14ac:dyDescent="0.35">
      <c r="A73" s="10" t="s">
        <v>61</v>
      </c>
    </row>
    <row r="74" spans="1:4" x14ac:dyDescent="0.35">
      <c r="A74" s="8" t="str">
        <f>B32</f>
        <v>Preferred Stock</v>
      </c>
      <c r="C74" s="4">
        <f>B36</f>
        <v>100000</v>
      </c>
    </row>
    <row r="75" spans="1:4" x14ac:dyDescent="0.35">
      <c r="A75" s="8" t="str">
        <f>C32</f>
        <v>Common Stock</v>
      </c>
      <c r="C75" s="4">
        <f>C36</f>
        <v>2000</v>
      </c>
    </row>
    <row r="76" spans="1:4" x14ac:dyDescent="0.35">
      <c r="A76" s="8" t="str">
        <f>D32</f>
        <v xml:space="preserve">Retained Earnings </v>
      </c>
      <c r="C76" s="4">
        <f>D36</f>
        <v>709595</v>
      </c>
    </row>
    <row r="77" spans="1:4" x14ac:dyDescent="0.35">
      <c r="A77" t="s">
        <v>62</v>
      </c>
      <c r="D77">
        <f>SUM(C74:C76)</f>
        <v>811595</v>
      </c>
    </row>
    <row r="79" spans="1:4" x14ac:dyDescent="0.35">
      <c r="A79" t="s">
        <v>63</v>
      </c>
      <c r="D79" s="11">
        <f>SUM(D71:D77)</f>
        <v>1014650</v>
      </c>
    </row>
    <row r="81" spans="4:4" x14ac:dyDescent="0.35">
      <c r="D8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42DC0-3207-40BA-98E2-1BC774DE92B0}">
  <dimension ref="A1:F82"/>
  <sheetViews>
    <sheetView topLeftCell="A38" zoomScale="75" workbookViewId="0">
      <selection activeCell="B49" sqref="B49"/>
    </sheetView>
  </sheetViews>
  <sheetFormatPr defaultRowHeight="14.5" x14ac:dyDescent="0.35"/>
  <cols>
    <col min="1" max="1" width="22.26953125" bestFit="1" customWidth="1"/>
    <col min="4" max="4" width="8.7265625" bestFit="1" customWidth="1"/>
    <col min="5" max="5" width="7.26953125" bestFit="1" customWidth="1"/>
  </cols>
  <sheetData>
    <row r="1" spans="1:6" x14ac:dyDescent="0.35">
      <c r="A1" t="s">
        <v>72</v>
      </c>
    </row>
    <row r="2" spans="1:6" x14ac:dyDescent="0.35">
      <c r="B2" s="1" t="s">
        <v>1</v>
      </c>
    </row>
    <row r="3" spans="1:6" x14ac:dyDescent="0.35">
      <c r="B3" s="1" t="s">
        <v>2</v>
      </c>
    </row>
    <row r="4" spans="1:6" x14ac:dyDescent="0.35">
      <c r="B4" s="1" t="s">
        <v>3</v>
      </c>
    </row>
    <row r="6" spans="1:6" x14ac:dyDescent="0.35">
      <c r="A6" s="2" t="s">
        <v>4</v>
      </c>
      <c r="E6" s="3">
        <v>94000</v>
      </c>
      <c r="F6" s="4"/>
    </row>
    <row r="7" spans="1:6" x14ac:dyDescent="0.35">
      <c r="A7" s="2" t="s">
        <v>65</v>
      </c>
      <c r="E7" s="3">
        <v>48000</v>
      </c>
    </row>
    <row r="8" spans="1:6" x14ac:dyDescent="0.35">
      <c r="A8" t="s">
        <v>6</v>
      </c>
      <c r="E8" s="4">
        <f>E6-E7</f>
        <v>46000</v>
      </c>
    </row>
    <row r="9" spans="1:6" x14ac:dyDescent="0.35">
      <c r="A9" s="2" t="s">
        <v>7</v>
      </c>
      <c r="E9" s="3">
        <f>9900+1000</f>
        <v>10900</v>
      </c>
    </row>
    <row r="10" spans="1:6" x14ac:dyDescent="0.35">
      <c r="A10" s="2" t="s">
        <v>8</v>
      </c>
      <c r="E10" s="4">
        <f>E8-E9</f>
        <v>35100</v>
      </c>
    </row>
    <row r="11" spans="1:6" x14ac:dyDescent="0.35">
      <c r="A11" s="5" t="s">
        <v>9</v>
      </c>
    </row>
    <row r="12" spans="1:6" x14ac:dyDescent="0.35">
      <c r="A12" s="2" t="s">
        <v>66</v>
      </c>
      <c r="D12" s="4">
        <v>3900</v>
      </c>
    </row>
    <row r="13" spans="1:6" x14ac:dyDescent="0.35">
      <c r="A13" s="2" t="s">
        <v>10</v>
      </c>
      <c r="D13" s="2">
        <v>90</v>
      </c>
    </row>
    <row r="14" spans="1:6" x14ac:dyDescent="0.35">
      <c r="A14" s="6" t="s">
        <v>12</v>
      </c>
      <c r="D14" s="3">
        <v>2100</v>
      </c>
    </row>
    <row r="15" spans="1:6" x14ac:dyDescent="0.35">
      <c r="A15" s="2" t="s">
        <v>13</v>
      </c>
      <c r="D15" s="3">
        <v>9400</v>
      </c>
    </row>
    <row r="16" spans="1:6" x14ac:dyDescent="0.35">
      <c r="A16" t="s">
        <v>14</v>
      </c>
      <c r="D16">
        <f>84000*0.12</f>
        <v>10080</v>
      </c>
    </row>
    <row r="17" spans="1:5" x14ac:dyDescent="0.35">
      <c r="A17" s="2" t="s">
        <v>73</v>
      </c>
      <c r="D17">
        <v>200</v>
      </c>
    </row>
    <row r="18" spans="1:5" x14ac:dyDescent="0.35">
      <c r="A18" s="2" t="s">
        <v>16</v>
      </c>
      <c r="E18" s="4">
        <f>SUM(D12:D17)</f>
        <v>25770</v>
      </c>
    </row>
    <row r="19" spans="1:5" x14ac:dyDescent="0.35">
      <c r="A19" s="2" t="s">
        <v>17</v>
      </c>
      <c r="E19" s="4">
        <f>E10-E18</f>
        <v>9330</v>
      </c>
    </row>
    <row r="20" spans="1:5" x14ac:dyDescent="0.35">
      <c r="A20" s="2" t="s">
        <v>74</v>
      </c>
      <c r="E20" s="4"/>
    </row>
    <row r="21" spans="1:5" x14ac:dyDescent="0.35">
      <c r="A21" s="6" t="s">
        <v>75</v>
      </c>
      <c r="E21" s="3">
        <v>4000</v>
      </c>
    </row>
    <row r="22" spans="1:5" x14ac:dyDescent="0.35">
      <c r="A22" s="2" t="s">
        <v>20</v>
      </c>
      <c r="E22" s="4">
        <f>E19-E21</f>
        <v>5330</v>
      </c>
    </row>
    <row r="23" spans="1:5" x14ac:dyDescent="0.35">
      <c r="A23" s="2" t="s">
        <v>21</v>
      </c>
      <c r="E23">
        <f>20000*0.05</f>
        <v>1000</v>
      </c>
    </row>
    <row r="24" spans="1:5" x14ac:dyDescent="0.35">
      <c r="A24" s="2" t="s">
        <v>22</v>
      </c>
      <c r="E24" s="4">
        <f>E22-E23</f>
        <v>4330</v>
      </c>
    </row>
    <row r="25" spans="1:5" x14ac:dyDescent="0.35">
      <c r="A25" s="2" t="s">
        <v>23</v>
      </c>
      <c r="E25">
        <f>E24*0.2</f>
        <v>866</v>
      </c>
    </row>
    <row r="26" spans="1:5" x14ac:dyDescent="0.35">
      <c r="A26" s="2" t="s">
        <v>24</v>
      </c>
      <c r="E26" s="4">
        <f>E24-E25</f>
        <v>3464</v>
      </c>
    </row>
    <row r="29" spans="1:5" x14ac:dyDescent="0.35">
      <c r="B29" s="1" t="s">
        <v>1</v>
      </c>
    </row>
    <row r="30" spans="1:5" x14ac:dyDescent="0.35">
      <c r="B30" s="1" t="s">
        <v>25</v>
      </c>
    </row>
    <row r="31" spans="1:5" x14ac:dyDescent="0.35">
      <c r="B31" s="1" t="s">
        <v>3</v>
      </c>
    </row>
    <row r="32" spans="1:5" ht="72.5" x14ac:dyDescent="0.35">
      <c r="B32" s="8" t="s">
        <v>27</v>
      </c>
      <c r="C32" s="8" t="s">
        <v>68</v>
      </c>
      <c r="D32" s="8" t="s">
        <v>28</v>
      </c>
      <c r="E32" s="9" t="s">
        <v>29</v>
      </c>
    </row>
    <row r="33" spans="1:5" x14ac:dyDescent="0.35">
      <c r="A33" t="s">
        <v>30</v>
      </c>
      <c r="B33" s="3">
        <v>150000</v>
      </c>
      <c r="C33" s="3">
        <v>7000</v>
      </c>
      <c r="D33" s="3">
        <v>19000</v>
      </c>
      <c r="E33" s="4">
        <f>SUM(B33:D33)</f>
        <v>176000</v>
      </c>
    </row>
    <row r="34" spans="1:5" x14ac:dyDescent="0.35">
      <c r="A34" t="s">
        <v>31</v>
      </c>
      <c r="D34" s="4">
        <f>E26</f>
        <v>3464</v>
      </c>
      <c r="E34" s="4">
        <f t="shared" ref="E34:E36" si="0">SUM(B34:D34)</f>
        <v>3464</v>
      </c>
    </row>
    <row r="35" spans="1:5" x14ac:dyDescent="0.35">
      <c r="A35" t="s">
        <v>32</v>
      </c>
      <c r="D35" s="4">
        <v>1500</v>
      </c>
      <c r="E35" s="4">
        <f t="shared" si="0"/>
        <v>1500</v>
      </c>
    </row>
    <row r="36" spans="1:5" x14ac:dyDescent="0.35">
      <c r="A36" t="s">
        <v>33</v>
      </c>
      <c r="B36" s="4">
        <f>SUM(B33:B35)</f>
        <v>150000</v>
      </c>
      <c r="C36" s="4">
        <f>SUM(C33:C35)</f>
        <v>7000</v>
      </c>
      <c r="D36" s="4">
        <f>D33+D34-D35</f>
        <v>20964</v>
      </c>
      <c r="E36" s="4">
        <f t="shared" si="0"/>
        <v>177964</v>
      </c>
    </row>
    <row r="39" spans="1:5" x14ac:dyDescent="0.35">
      <c r="B39" s="1" t="s">
        <v>1</v>
      </c>
    </row>
    <row r="40" spans="1:5" x14ac:dyDescent="0.35">
      <c r="B40" s="1" t="s">
        <v>34</v>
      </c>
    </row>
    <row r="41" spans="1:5" x14ac:dyDescent="0.35">
      <c r="B41" s="1" t="s">
        <v>35</v>
      </c>
    </row>
    <row r="42" spans="1:5" x14ac:dyDescent="0.35">
      <c r="B42" s="1"/>
    </row>
    <row r="43" spans="1:5" x14ac:dyDescent="0.35">
      <c r="B43" s="10" t="s">
        <v>36</v>
      </c>
    </row>
    <row r="44" spans="1:5" x14ac:dyDescent="0.35">
      <c r="A44" s="10" t="s">
        <v>37</v>
      </c>
    </row>
    <row r="45" spans="1:5" x14ac:dyDescent="0.35">
      <c r="A45" s="2" t="s">
        <v>38</v>
      </c>
      <c r="C45" s="3">
        <v>910</v>
      </c>
    </row>
    <row r="46" spans="1:5" x14ac:dyDescent="0.35">
      <c r="A46" s="2" t="s">
        <v>40</v>
      </c>
      <c r="C46" s="3">
        <v>8200</v>
      </c>
    </row>
    <row r="47" spans="1:5" x14ac:dyDescent="0.35">
      <c r="A47" s="2" t="s">
        <v>41</v>
      </c>
      <c r="C47" s="4">
        <v>43700</v>
      </c>
    </row>
    <row r="48" spans="1:5" x14ac:dyDescent="0.35">
      <c r="A48" s="2" t="s">
        <v>76</v>
      </c>
      <c r="C48">
        <f>3200-200</f>
        <v>3000</v>
      </c>
    </row>
    <row r="49" spans="1:4" x14ac:dyDescent="0.35">
      <c r="A49" s="2" t="s">
        <v>42</v>
      </c>
      <c r="D49" s="4">
        <f>SUM(C45:C48)</f>
        <v>55810</v>
      </c>
    </row>
    <row r="51" spans="1:4" x14ac:dyDescent="0.35">
      <c r="A51" s="1" t="s">
        <v>43</v>
      </c>
    </row>
    <row r="52" spans="1:4" x14ac:dyDescent="0.35">
      <c r="A52" s="2" t="s">
        <v>77</v>
      </c>
      <c r="C52" s="4">
        <v>100000</v>
      </c>
    </row>
    <row r="53" spans="1:4" x14ac:dyDescent="0.35">
      <c r="A53" s="2" t="s">
        <v>78</v>
      </c>
      <c r="B53" s="3">
        <v>84000</v>
      </c>
    </row>
    <row r="54" spans="1:4" ht="43.5" x14ac:dyDescent="0.35">
      <c r="A54" s="9" t="s">
        <v>79</v>
      </c>
      <c r="B54">
        <f>2900+D16</f>
        <v>12980</v>
      </c>
      <c r="C54" s="4">
        <f>B53-B54</f>
        <v>71020</v>
      </c>
    </row>
    <row r="55" spans="1:4" x14ac:dyDescent="0.35">
      <c r="A55" t="s">
        <v>47</v>
      </c>
      <c r="D55" s="4">
        <f>C52+C54</f>
        <v>171020</v>
      </c>
    </row>
    <row r="57" spans="1:4" x14ac:dyDescent="0.35">
      <c r="A57" t="s">
        <v>48</v>
      </c>
      <c r="D57" s="11">
        <f>SUM(D49:D55)</f>
        <v>226830</v>
      </c>
    </row>
    <row r="59" spans="1:4" x14ac:dyDescent="0.35">
      <c r="B59" s="10" t="s">
        <v>49</v>
      </c>
    </row>
    <row r="60" spans="1:4" x14ac:dyDescent="0.35">
      <c r="A60" s="10" t="s">
        <v>50</v>
      </c>
    </row>
    <row r="61" spans="1:4" x14ac:dyDescent="0.35">
      <c r="A61" s="10" t="s">
        <v>51</v>
      </c>
    </row>
    <row r="62" spans="1:4" x14ac:dyDescent="0.35">
      <c r="A62" s="2" t="s">
        <v>52</v>
      </c>
      <c r="C62" s="3">
        <v>25500</v>
      </c>
    </row>
    <row r="63" spans="1:4" x14ac:dyDescent="0.35">
      <c r="A63" t="s">
        <v>53</v>
      </c>
      <c r="C63">
        <f>E23</f>
        <v>1000</v>
      </c>
    </row>
    <row r="64" spans="1:4" x14ac:dyDescent="0.35">
      <c r="A64" t="s">
        <v>54</v>
      </c>
      <c r="C64">
        <f>D35</f>
        <v>1500</v>
      </c>
    </row>
    <row r="65" spans="1:4" x14ac:dyDescent="0.35">
      <c r="A65" t="s">
        <v>55</v>
      </c>
      <c r="C65">
        <f>E25</f>
        <v>866</v>
      </c>
    </row>
    <row r="66" spans="1:4" x14ac:dyDescent="0.35">
      <c r="A66" t="s">
        <v>56</v>
      </c>
      <c r="D66" s="4">
        <f>SUM(C62:C65)</f>
        <v>28866</v>
      </c>
    </row>
    <row r="68" spans="1:4" x14ac:dyDescent="0.35">
      <c r="A68" s="10" t="s">
        <v>57</v>
      </c>
    </row>
    <row r="69" spans="1:4" x14ac:dyDescent="0.35">
      <c r="A69" t="s">
        <v>80</v>
      </c>
      <c r="C69" s="3">
        <v>20000</v>
      </c>
    </row>
    <row r="70" spans="1:4" x14ac:dyDescent="0.35">
      <c r="A70" t="s">
        <v>59</v>
      </c>
      <c r="D70" s="4">
        <f>C69</f>
        <v>20000</v>
      </c>
    </row>
    <row r="71" spans="1:4" x14ac:dyDescent="0.35">
      <c r="A71" t="s">
        <v>60</v>
      </c>
      <c r="D71" s="4">
        <f>SUM(D66:D70)</f>
        <v>48866</v>
      </c>
    </row>
    <row r="73" spans="1:4" x14ac:dyDescent="0.35">
      <c r="A73" s="10" t="s">
        <v>61</v>
      </c>
    </row>
    <row r="74" spans="1:4" x14ac:dyDescent="0.35">
      <c r="A74" s="8" t="str">
        <f>B32</f>
        <v>Common Stock</v>
      </c>
      <c r="C74" s="4">
        <f>B36</f>
        <v>150000</v>
      </c>
    </row>
    <row r="75" spans="1:4" ht="29" x14ac:dyDescent="0.35">
      <c r="A75" s="8" t="str">
        <f>C32</f>
        <v>Additional Paid in Capital- Common Stock</v>
      </c>
      <c r="C75" s="4">
        <f>C36</f>
        <v>7000</v>
      </c>
    </row>
    <row r="76" spans="1:4" x14ac:dyDescent="0.35">
      <c r="A76" s="8" t="str">
        <f>D32</f>
        <v xml:space="preserve">Retained Earnings </v>
      </c>
      <c r="C76" s="4">
        <f>D36</f>
        <v>20964</v>
      </c>
    </row>
    <row r="77" spans="1:4" ht="29" x14ac:dyDescent="0.35">
      <c r="A77" s="8" t="s">
        <v>62</v>
      </c>
      <c r="D77">
        <f>SUM(C74:C76)</f>
        <v>177964</v>
      </c>
    </row>
    <row r="79" spans="1:4" x14ac:dyDescent="0.35">
      <c r="A79" t="s">
        <v>63</v>
      </c>
      <c r="D79" s="11">
        <f>SUM(D71:D77)</f>
        <v>226830</v>
      </c>
    </row>
    <row r="81" spans="4:4" x14ac:dyDescent="0.35">
      <c r="D81" s="4"/>
    </row>
    <row r="82" spans="4:4" x14ac:dyDescent="0.35">
      <c r="D82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18B72-19CA-4990-AD8B-9924CAADE4BD}">
  <dimension ref="A1:F82"/>
  <sheetViews>
    <sheetView topLeftCell="A62" zoomScale="84" workbookViewId="0">
      <selection activeCell="A8" sqref="A8"/>
    </sheetView>
  </sheetViews>
  <sheetFormatPr defaultRowHeight="14.5" x14ac:dyDescent="0.35"/>
  <cols>
    <col min="1" max="1" width="22.26953125" bestFit="1" customWidth="1"/>
    <col min="4" max="4" width="8.7265625" bestFit="1" customWidth="1"/>
    <col min="5" max="5" width="8" bestFit="1" customWidth="1"/>
  </cols>
  <sheetData>
    <row r="1" spans="1:6" x14ac:dyDescent="0.35">
      <c r="A1" t="s">
        <v>64</v>
      </c>
    </row>
    <row r="2" spans="1:6" x14ac:dyDescent="0.35">
      <c r="B2" s="1" t="s">
        <v>1</v>
      </c>
    </row>
    <row r="3" spans="1:6" x14ac:dyDescent="0.35">
      <c r="B3" s="1" t="s">
        <v>2</v>
      </c>
    </row>
    <row r="4" spans="1:6" x14ac:dyDescent="0.35">
      <c r="B4" s="1" t="s">
        <v>3</v>
      </c>
    </row>
    <row r="6" spans="1:6" x14ac:dyDescent="0.35">
      <c r="A6" s="2" t="s">
        <v>4</v>
      </c>
      <c r="E6" s="3">
        <v>294000</v>
      </c>
      <c r="F6" s="4"/>
    </row>
    <row r="7" spans="1:6" x14ac:dyDescent="0.35">
      <c r="A7" s="2" t="s">
        <v>65</v>
      </c>
      <c r="E7" s="3">
        <v>4000</v>
      </c>
    </row>
    <row r="8" spans="1:6" x14ac:dyDescent="0.35">
      <c r="A8" t="s">
        <v>6</v>
      </c>
      <c r="E8" s="4">
        <f>E6-E7</f>
        <v>290000</v>
      </c>
    </row>
    <row r="9" spans="1:6" x14ac:dyDescent="0.35">
      <c r="A9" s="2" t="s">
        <v>7</v>
      </c>
      <c r="E9" s="3">
        <f>9900+(44700-23700)</f>
        <v>30900</v>
      </c>
    </row>
    <row r="10" spans="1:6" x14ac:dyDescent="0.35">
      <c r="A10" s="2" t="s">
        <v>8</v>
      </c>
      <c r="E10" s="4">
        <f>E8-E9</f>
        <v>259100</v>
      </c>
    </row>
    <row r="11" spans="1:6" x14ac:dyDescent="0.35">
      <c r="A11" s="5" t="s">
        <v>9</v>
      </c>
    </row>
    <row r="12" spans="1:6" x14ac:dyDescent="0.35">
      <c r="A12" s="2" t="s">
        <v>66</v>
      </c>
      <c r="D12" s="4">
        <v>4400</v>
      </c>
    </row>
    <row r="13" spans="1:6" x14ac:dyDescent="0.35">
      <c r="A13" s="2" t="s">
        <v>11</v>
      </c>
      <c r="D13">
        <v>900</v>
      </c>
    </row>
    <row r="14" spans="1:6" x14ac:dyDescent="0.35">
      <c r="A14" s="6" t="s">
        <v>12</v>
      </c>
      <c r="D14" s="3">
        <v>400</v>
      </c>
    </row>
    <row r="15" spans="1:6" x14ac:dyDescent="0.35">
      <c r="A15" s="2" t="s">
        <v>13</v>
      </c>
      <c r="D15" s="3">
        <v>2300</v>
      </c>
    </row>
    <row r="16" spans="1:6" x14ac:dyDescent="0.35">
      <c r="A16" t="s">
        <v>14</v>
      </c>
      <c r="D16">
        <f>(286000-6000)*0.14</f>
        <v>39200.000000000007</v>
      </c>
    </row>
    <row r="17" spans="1:5" x14ac:dyDescent="0.35">
      <c r="A17" s="2" t="s">
        <v>15</v>
      </c>
      <c r="D17">
        <v>300</v>
      </c>
    </row>
    <row r="18" spans="1:5" x14ac:dyDescent="0.35">
      <c r="A18" s="2" t="s">
        <v>16</v>
      </c>
      <c r="E18" s="4">
        <f>SUM(D12:D17)</f>
        <v>47500.000000000007</v>
      </c>
    </row>
    <row r="19" spans="1:5" x14ac:dyDescent="0.35">
      <c r="A19" s="2" t="s">
        <v>17</v>
      </c>
      <c r="E19" s="4">
        <f>E10-E18</f>
        <v>211600</v>
      </c>
    </row>
    <row r="20" spans="1:5" x14ac:dyDescent="0.35">
      <c r="A20" s="2" t="s">
        <v>18</v>
      </c>
      <c r="E20" s="4"/>
    </row>
    <row r="21" spans="1:5" x14ac:dyDescent="0.35">
      <c r="A21" s="6" t="s">
        <v>67</v>
      </c>
      <c r="E21" s="3">
        <v>11000</v>
      </c>
    </row>
    <row r="22" spans="1:5" x14ac:dyDescent="0.35">
      <c r="A22" s="2" t="s">
        <v>20</v>
      </c>
      <c r="E22" s="4">
        <f>E19+E21</f>
        <v>222600</v>
      </c>
    </row>
    <row r="23" spans="1:5" x14ac:dyDescent="0.35">
      <c r="A23" s="2" t="s">
        <v>21</v>
      </c>
      <c r="E23">
        <f>16000*0.08</f>
        <v>1280</v>
      </c>
    </row>
    <row r="24" spans="1:5" x14ac:dyDescent="0.35">
      <c r="A24" s="2" t="s">
        <v>22</v>
      </c>
      <c r="E24" s="4">
        <f>E22-E23</f>
        <v>221320</v>
      </c>
    </row>
    <row r="25" spans="1:5" x14ac:dyDescent="0.35">
      <c r="A25" s="2" t="s">
        <v>23</v>
      </c>
      <c r="E25">
        <f>E24*0.15</f>
        <v>33198</v>
      </c>
    </row>
    <row r="26" spans="1:5" x14ac:dyDescent="0.35">
      <c r="A26" s="2" t="s">
        <v>24</v>
      </c>
      <c r="E26" s="4">
        <f>E24-E25</f>
        <v>188122</v>
      </c>
    </row>
    <row r="29" spans="1:5" x14ac:dyDescent="0.35">
      <c r="B29" s="1" t="s">
        <v>1</v>
      </c>
    </row>
    <row r="30" spans="1:5" x14ac:dyDescent="0.35">
      <c r="B30" s="1" t="s">
        <v>25</v>
      </c>
    </row>
    <row r="31" spans="1:5" x14ac:dyDescent="0.35">
      <c r="B31" s="1" t="s">
        <v>3</v>
      </c>
    </row>
    <row r="32" spans="1:5" ht="72.5" x14ac:dyDescent="0.35">
      <c r="B32" s="8" t="s">
        <v>27</v>
      </c>
      <c r="C32" s="8" t="s">
        <v>68</v>
      </c>
      <c r="D32" s="8" t="s">
        <v>28</v>
      </c>
      <c r="E32" s="9" t="s">
        <v>29</v>
      </c>
    </row>
    <row r="33" spans="1:5" x14ac:dyDescent="0.35">
      <c r="A33" t="s">
        <v>30</v>
      </c>
      <c r="B33" s="3">
        <v>120000</v>
      </c>
      <c r="C33" s="3">
        <v>27000</v>
      </c>
      <c r="D33" s="3">
        <v>14000</v>
      </c>
      <c r="E33" s="4">
        <f>SUM(B33:D33)</f>
        <v>161000</v>
      </c>
    </row>
    <row r="34" spans="1:5" x14ac:dyDescent="0.35">
      <c r="A34" t="s">
        <v>31</v>
      </c>
      <c r="D34" s="4">
        <f>E26</f>
        <v>188122</v>
      </c>
      <c r="E34" s="4">
        <f t="shared" ref="E34:E36" si="0">SUM(B34:D34)</f>
        <v>188122</v>
      </c>
    </row>
    <row r="35" spans="1:5" x14ac:dyDescent="0.35">
      <c r="A35" t="s">
        <v>32</v>
      </c>
      <c r="D35" s="4">
        <v>41000</v>
      </c>
      <c r="E35" s="4">
        <f t="shared" si="0"/>
        <v>41000</v>
      </c>
    </row>
    <row r="36" spans="1:5" x14ac:dyDescent="0.35">
      <c r="A36" t="s">
        <v>33</v>
      </c>
      <c r="B36" s="4">
        <f>SUM(B33:B35)</f>
        <v>120000</v>
      </c>
      <c r="C36" s="4">
        <f>SUM(C33:C35)</f>
        <v>27000</v>
      </c>
      <c r="D36" s="4">
        <f>D33+D34-D35</f>
        <v>161122</v>
      </c>
      <c r="E36" s="4">
        <f t="shared" si="0"/>
        <v>308122</v>
      </c>
    </row>
    <row r="39" spans="1:5" x14ac:dyDescent="0.35">
      <c r="B39" s="1" t="s">
        <v>1</v>
      </c>
    </row>
    <row r="40" spans="1:5" x14ac:dyDescent="0.35">
      <c r="B40" s="1" t="s">
        <v>34</v>
      </c>
    </row>
    <row r="41" spans="1:5" x14ac:dyDescent="0.35">
      <c r="B41" s="1" t="s">
        <v>35</v>
      </c>
    </row>
    <row r="42" spans="1:5" x14ac:dyDescent="0.35">
      <c r="B42" s="1"/>
    </row>
    <row r="43" spans="1:5" x14ac:dyDescent="0.35">
      <c r="B43" s="10" t="s">
        <v>36</v>
      </c>
    </row>
    <row r="44" spans="1:5" x14ac:dyDescent="0.35">
      <c r="A44" s="10" t="s">
        <v>37</v>
      </c>
    </row>
    <row r="45" spans="1:5" x14ac:dyDescent="0.35">
      <c r="A45" s="2" t="s">
        <v>38</v>
      </c>
      <c r="C45" s="3">
        <v>45010</v>
      </c>
    </row>
    <row r="46" spans="1:5" x14ac:dyDescent="0.35">
      <c r="A46" t="s">
        <v>69</v>
      </c>
      <c r="C46" s="4">
        <v>3200</v>
      </c>
    </row>
    <row r="47" spans="1:5" x14ac:dyDescent="0.35">
      <c r="A47" s="2" t="s">
        <v>40</v>
      </c>
      <c r="C47" s="3">
        <f>8200-300</f>
        <v>7900</v>
      </c>
    </row>
    <row r="48" spans="1:5" x14ac:dyDescent="0.35">
      <c r="A48" s="2" t="s">
        <v>41</v>
      </c>
      <c r="C48" s="4">
        <v>23700</v>
      </c>
    </row>
    <row r="49" spans="1:4" x14ac:dyDescent="0.35">
      <c r="A49" s="2" t="s">
        <v>42</v>
      </c>
      <c r="D49" s="4">
        <f>SUM(C45:C48)</f>
        <v>79810</v>
      </c>
    </row>
    <row r="51" spans="1:4" x14ac:dyDescent="0.35">
      <c r="A51" s="1" t="s">
        <v>43</v>
      </c>
    </row>
    <row r="52" spans="1:4" x14ac:dyDescent="0.35">
      <c r="A52" s="2" t="s">
        <v>70</v>
      </c>
      <c r="C52" s="4">
        <v>84490</v>
      </c>
    </row>
    <row r="53" spans="1:4" x14ac:dyDescent="0.35">
      <c r="A53" s="2" t="s">
        <v>45</v>
      </c>
      <c r="B53" s="3">
        <v>286000</v>
      </c>
    </row>
    <row r="54" spans="1:4" ht="29" x14ac:dyDescent="0.35">
      <c r="A54" s="9" t="s">
        <v>46</v>
      </c>
      <c r="B54">
        <f>6000+D16</f>
        <v>45200.000000000007</v>
      </c>
      <c r="C54" s="4">
        <f>B53-B54</f>
        <v>240800</v>
      </c>
    </row>
    <row r="55" spans="1:4" x14ac:dyDescent="0.35">
      <c r="A55" t="s">
        <v>47</v>
      </c>
      <c r="D55" s="4">
        <f>C52+C54</f>
        <v>325290</v>
      </c>
    </row>
    <row r="57" spans="1:4" x14ac:dyDescent="0.35">
      <c r="A57" t="s">
        <v>48</v>
      </c>
      <c r="D57" s="11">
        <f>SUM(D49:D55)</f>
        <v>405100</v>
      </c>
    </row>
    <row r="59" spans="1:4" x14ac:dyDescent="0.35">
      <c r="B59" s="10" t="s">
        <v>49</v>
      </c>
    </row>
    <row r="60" spans="1:4" x14ac:dyDescent="0.35">
      <c r="A60" s="10" t="s">
        <v>50</v>
      </c>
    </row>
    <row r="61" spans="1:4" x14ac:dyDescent="0.35">
      <c r="A61" s="10" t="s">
        <v>51</v>
      </c>
    </row>
    <row r="62" spans="1:4" x14ac:dyDescent="0.35">
      <c r="A62" s="2" t="s">
        <v>52</v>
      </c>
      <c r="C62" s="3">
        <v>5500</v>
      </c>
    </row>
    <row r="63" spans="1:4" x14ac:dyDescent="0.35">
      <c r="A63" t="s">
        <v>53</v>
      </c>
      <c r="C63">
        <f>E23</f>
        <v>1280</v>
      </c>
    </row>
    <row r="64" spans="1:4" x14ac:dyDescent="0.35">
      <c r="A64" t="s">
        <v>54</v>
      </c>
      <c r="C64">
        <f>D35</f>
        <v>41000</v>
      </c>
    </row>
    <row r="65" spans="1:4" x14ac:dyDescent="0.35">
      <c r="A65" t="s">
        <v>55</v>
      </c>
      <c r="C65">
        <f>E25</f>
        <v>33198</v>
      </c>
    </row>
    <row r="66" spans="1:4" x14ac:dyDescent="0.35">
      <c r="A66" t="s">
        <v>56</v>
      </c>
      <c r="D66" s="4">
        <f>SUM(C62:C65)</f>
        <v>80978</v>
      </c>
    </row>
    <row r="68" spans="1:4" x14ac:dyDescent="0.35">
      <c r="A68" s="10" t="s">
        <v>57</v>
      </c>
    </row>
    <row r="69" spans="1:4" x14ac:dyDescent="0.35">
      <c r="A69" t="s">
        <v>71</v>
      </c>
      <c r="C69" s="3">
        <v>16000</v>
      </c>
    </row>
    <row r="70" spans="1:4" x14ac:dyDescent="0.35">
      <c r="A70" t="s">
        <v>59</v>
      </c>
      <c r="D70" s="4">
        <f>C69</f>
        <v>16000</v>
      </c>
    </row>
    <row r="71" spans="1:4" x14ac:dyDescent="0.35">
      <c r="A71" t="s">
        <v>60</v>
      </c>
      <c r="D71" s="4">
        <f>SUM(D66:D70)</f>
        <v>96978</v>
      </c>
    </row>
    <row r="73" spans="1:4" x14ac:dyDescent="0.35">
      <c r="A73" s="10" t="s">
        <v>61</v>
      </c>
    </row>
    <row r="74" spans="1:4" x14ac:dyDescent="0.35">
      <c r="A74" s="8" t="str">
        <f>B32</f>
        <v>Common Stock</v>
      </c>
      <c r="C74" s="4">
        <f>B36</f>
        <v>120000</v>
      </c>
    </row>
    <row r="75" spans="1:4" ht="29" x14ac:dyDescent="0.35">
      <c r="A75" s="8" t="str">
        <f>C32</f>
        <v>Additional Paid in Capital- Common Stock</v>
      </c>
      <c r="C75" s="4">
        <f>C36</f>
        <v>27000</v>
      </c>
    </row>
    <row r="76" spans="1:4" x14ac:dyDescent="0.35">
      <c r="A76" s="8" t="str">
        <f>D32</f>
        <v xml:space="preserve">Retained Earnings </v>
      </c>
      <c r="C76" s="4">
        <f>D36</f>
        <v>161122</v>
      </c>
    </row>
    <row r="77" spans="1:4" ht="29" x14ac:dyDescent="0.35">
      <c r="A77" s="8" t="s">
        <v>62</v>
      </c>
      <c r="D77">
        <f>SUM(C74:C76)</f>
        <v>308122</v>
      </c>
    </row>
    <row r="79" spans="1:4" x14ac:dyDescent="0.35">
      <c r="A79" t="s">
        <v>63</v>
      </c>
      <c r="D79" s="11">
        <f>SUM(D71:D77)</f>
        <v>405100</v>
      </c>
    </row>
    <row r="81" spans="4:4" x14ac:dyDescent="0.35">
      <c r="D81" s="4"/>
    </row>
    <row r="82" spans="4:4" x14ac:dyDescent="0.35">
      <c r="D82" s="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E6E108-34B6-4D39-BE1C-609F55ADC772}">
  <dimension ref="A1:F82"/>
  <sheetViews>
    <sheetView topLeftCell="A68" zoomScale="84" workbookViewId="0">
      <selection activeCell="A8" sqref="A8"/>
    </sheetView>
  </sheetViews>
  <sheetFormatPr defaultRowHeight="14.5" x14ac:dyDescent="0.35"/>
  <cols>
    <col min="1" max="1" width="22.26953125" bestFit="1" customWidth="1"/>
    <col min="4" max="4" width="8.7265625" bestFit="1" customWidth="1"/>
    <col min="5" max="5" width="10.1796875" bestFit="1" customWidth="1"/>
  </cols>
  <sheetData>
    <row r="1" spans="1:6" x14ac:dyDescent="0.35">
      <c r="A1" t="s">
        <v>0</v>
      </c>
    </row>
    <row r="2" spans="1:6" x14ac:dyDescent="0.35">
      <c r="B2" s="1" t="s">
        <v>1</v>
      </c>
    </row>
    <row r="3" spans="1:6" x14ac:dyDescent="0.35">
      <c r="B3" s="1" t="s">
        <v>2</v>
      </c>
    </row>
    <row r="4" spans="1:6" x14ac:dyDescent="0.35">
      <c r="B4" s="1" t="s">
        <v>3</v>
      </c>
    </row>
    <row r="6" spans="1:6" x14ac:dyDescent="0.35">
      <c r="A6" s="2" t="s">
        <v>4</v>
      </c>
      <c r="E6" s="3">
        <v>504000</v>
      </c>
      <c r="F6" s="4"/>
    </row>
    <row r="7" spans="1:6" x14ac:dyDescent="0.35">
      <c r="A7" s="2" t="s">
        <v>5</v>
      </c>
      <c r="E7" s="3">
        <v>444000</v>
      </c>
    </row>
    <row r="8" spans="1:6" x14ac:dyDescent="0.35">
      <c r="A8" t="s">
        <v>6</v>
      </c>
      <c r="E8" s="4">
        <f>E6-E7</f>
        <v>60000</v>
      </c>
    </row>
    <row r="9" spans="1:6" x14ac:dyDescent="0.35">
      <c r="A9" s="2" t="s">
        <v>7</v>
      </c>
      <c r="E9" s="3">
        <f>10900-(50000-44700)</f>
        <v>5600</v>
      </c>
    </row>
    <row r="10" spans="1:6" x14ac:dyDescent="0.35">
      <c r="A10" s="2" t="s">
        <v>8</v>
      </c>
      <c r="E10" s="4">
        <f>E8-E9</f>
        <v>54400</v>
      </c>
    </row>
    <row r="11" spans="1:6" x14ac:dyDescent="0.35">
      <c r="A11" s="5" t="s">
        <v>9</v>
      </c>
    </row>
    <row r="12" spans="1:6" x14ac:dyDescent="0.35">
      <c r="A12" s="2" t="s">
        <v>10</v>
      </c>
      <c r="D12" s="4">
        <v>400</v>
      </c>
    </row>
    <row r="13" spans="1:6" x14ac:dyDescent="0.35">
      <c r="A13" s="2" t="s">
        <v>11</v>
      </c>
      <c r="D13">
        <v>700</v>
      </c>
    </row>
    <row r="14" spans="1:6" x14ac:dyDescent="0.35">
      <c r="A14" s="6" t="s">
        <v>12</v>
      </c>
      <c r="D14" s="3">
        <v>400</v>
      </c>
    </row>
    <row r="15" spans="1:6" x14ac:dyDescent="0.35">
      <c r="A15" s="2" t="s">
        <v>13</v>
      </c>
      <c r="D15" s="3">
        <v>400</v>
      </c>
    </row>
    <row r="16" spans="1:6" x14ac:dyDescent="0.35">
      <c r="A16" t="s">
        <v>14</v>
      </c>
      <c r="D16">
        <f>99000*0.09</f>
        <v>8910</v>
      </c>
    </row>
    <row r="17" spans="1:5" x14ac:dyDescent="0.35">
      <c r="A17" s="2" t="s">
        <v>15</v>
      </c>
      <c r="D17">
        <f>8200-300</f>
        <v>7900</v>
      </c>
    </row>
    <row r="18" spans="1:5" x14ac:dyDescent="0.35">
      <c r="A18" s="2" t="s">
        <v>16</v>
      </c>
      <c r="E18" s="4">
        <f>SUM(D12:D17)</f>
        <v>18710</v>
      </c>
    </row>
    <row r="19" spans="1:5" x14ac:dyDescent="0.35">
      <c r="A19" s="2" t="s">
        <v>17</v>
      </c>
      <c r="E19" s="4">
        <f>E10-E18</f>
        <v>35690</v>
      </c>
    </row>
    <row r="20" spans="1:5" x14ac:dyDescent="0.35">
      <c r="A20" s="2" t="s">
        <v>18</v>
      </c>
      <c r="E20" s="4"/>
    </row>
    <row r="21" spans="1:5" x14ac:dyDescent="0.35">
      <c r="A21" s="6" t="s">
        <v>19</v>
      </c>
      <c r="E21" s="3">
        <v>10000</v>
      </c>
    </row>
    <row r="22" spans="1:5" x14ac:dyDescent="0.35">
      <c r="A22" s="2" t="s">
        <v>20</v>
      </c>
      <c r="E22" s="4">
        <f>E19+E21</f>
        <v>45690</v>
      </c>
    </row>
    <row r="23" spans="1:5" x14ac:dyDescent="0.35">
      <c r="A23" s="2" t="s">
        <v>21</v>
      </c>
      <c r="E23">
        <f>6000*0.03</f>
        <v>180</v>
      </c>
    </row>
    <row r="24" spans="1:5" x14ac:dyDescent="0.35">
      <c r="A24" s="2" t="s">
        <v>22</v>
      </c>
      <c r="E24" s="4">
        <f>E22-E23</f>
        <v>45510</v>
      </c>
    </row>
    <row r="25" spans="1:5" x14ac:dyDescent="0.35">
      <c r="A25" s="2" t="s">
        <v>23</v>
      </c>
      <c r="E25" s="7">
        <f>E24*0.3</f>
        <v>13653</v>
      </c>
    </row>
    <row r="26" spans="1:5" x14ac:dyDescent="0.35">
      <c r="A26" s="2" t="s">
        <v>24</v>
      </c>
      <c r="E26" s="4">
        <f>E24-E25</f>
        <v>31857</v>
      </c>
    </row>
    <row r="29" spans="1:5" x14ac:dyDescent="0.35">
      <c r="B29" s="1" t="s">
        <v>1</v>
      </c>
    </row>
    <row r="30" spans="1:5" x14ac:dyDescent="0.35">
      <c r="B30" s="1" t="s">
        <v>25</v>
      </c>
    </row>
    <row r="31" spans="1:5" x14ac:dyDescent="0.35">
      <c r="B31" s="1" t="s">
        <v>3</v>
      </c>
    </row>
    <row r="32" spans="1:5" ht="29" x14ac:dyDescent="0.35">
      <c r="B32" s="8" t="s">
        <v>26</v>
      </c>
      <c r="C32" s="8" t="s">
        <v>27</v>
      </c>
      <c r="D32" s="8" t="s">
        <v>28</v>
      </c>
      <c r="E32" s="9" t="s">
        <v>29</v>
      </c>
    </row>
    <row r="33" spans="1:5" x14ac:dyDescent="0.35">
      <c r="A33" t="s">
        <v>30</v>
      </c>
      <c r="B33" s="3">
        <v>10000</v>
      </c>
      <c r="C33" s="3">
        <v>38000</v>
      </c>
      <c r="D33" s="3">
        <v>4000</v>
      </c>
      <c r="E33" s="4">
        <f>SUM(B33:D33)</f>
        <v>52000</v>
      </c>
    </row>
    <row r="34" spans="1:5" x14ac:dyDescent="0.35">
      <c r="A34" t="s">
        <v>31</v>
      </c>
      <c r="D34" s="4">
        <f>E26</f>
        <v>31857</v>
      </c>
      <c r="E34" s="4">
        <f t="shared" ref="E34:E36" si="0">SUM(B34:D34)</f>
        <v>31857</v>
      </c>
    </row>
    <row r="35" spans="1:5" x14ac:dyDescent="0.35">
      <c r="A35" t="s">
        <v>32</v>
      </c>
      <c r="D35" s="4">
        <v>10000</v>
      </c>
      <c r="E35" s="4">
        <f t="shared" si="0"/>
        <v>10000</v>
      </c>
    </row>
    <row r="36" spans="1:5" x14ac:dyDescent="0.35">
      <c r="A36" t="s">
        <v>33</v>
      </c>
      <c r="B36" s="4">
        <f>SUM(B33:B35)</f>
        <v>10000</v>
      </c>
      <c r="C36" s="4">
        <f>SUM(C33:C35)</f>
        <v>38000</v>
      </c>
      <c r="D36" s="4">
        <f>D33+D34-D35</f>
        <v>25857</v>
      </c>
      <c r="E36" s="4">
        <f t="shared" si="0"/>
        <v>73857</v>
      </c>
    </row>
    <row r="39" spans="1:5" x14ac:dyDescent="0.35">
      <c r="B39" s="1" t="s">
        <v>1</v>
      </c>
    </row>
    <row r="40" spans="1:5" x14ac:dyDescent="0.35">
      <c r="B40" s="1" t="s">
        <v>34</v>
      </c>
    </row>
    <row r="41" spans="1:5" x14ac:dyDescent="0.35">
      <c r="B41" s="1" t="s">
        <v>35</v>
      </c>
    </row>
    <row r="42" spans="1:5" x14ac:dyDescent="0.35">
      <c r="B42" s="1"/>
    </row>
    <row r="43" spans="1:5" x14ac:dyDescent="0.35">
      <c r="B43" s="10" t="s">
        <v>36</v>
      </c>
    </row>
    <row r="44" spans="1:5" x14ac:dyDescent="0.35">
      <c r="A44" s="10" t="s">
        <v>37</v>
      </c>
    </row>
    <row r="45" spans="1:5" x14ac:dyDescent="0.35">
      <c r="A45" s="2" t="s">
        <v>38</v>
      </c>
      <c r="C45" s="3">
        <v>45010</v>
      </c>
    </row>
    <row r="46" spans="1:5" x14ac:dyDescent="0.35">
      <c r="A46" t="s">
        <v>39</v>
      </c>
      <c r="C46" s="4">
        <v>3200</v>
      </c>
    </row>
    <row r="47" spans="1:5" x14ac:dyDescent="0.35">
      <c r="A47" s="2" t="s">
        <v>40</v>
      </c>
      <c r="C47" s="3">
        <v>300</v>
      </c>
    </row>
    <row r="48" spans="1:5" x14ac:dyDescent="0.35">
      <c r="A48" s="2" t="s">
        <v>41</v>
      </c>
      <c r="C48" s="4">
        <v>50000</v>
      </c>
    </row>
    <row r="49" spans="1:4" x14ac:dyDescent="0.35">
      <c r="A49" s="2" t="s">
        <v>42</v>
      </c>
      <c r="D49" s="4">
        <f>SUM(C45:C48)</f>
        <v>98510</v>
      </c>
    </row>
    <row r="51" spans="1:4" x14ac:dyDescent="0.35">
      <c r="A51" s="1" t="s">
        <v>43</v>
      </c>
    </row>
    <row r="52" spans="1:4" x14ac:dyDescent="0.35">
      <c r="A52" s="2" t="s">
        <v>44</v>
      </c>
      <c r="C52" s="4">
        <v>14330</v>
      </c>
    </row>
    <row r="53" spans="1:4" x14ac:dyDescent="0.35">
      <c r="A53" s="2" t="s">
        <v>45</v>
      </c>
      <c r="B53" s="3">
        <v>99000</v>
      </c>
    </row>
    <row r="54" spans="1:4" ht="29" x14ac:dyDescent="0.35">
      <c r="A54" s="9" t="s">
        <v>46</v>
      </c>
      <c r="B54">
        <f>9000+D16</f>
        <v>17910</v>
      </c>
      <c r="C54" s="4">
        <f>B53-B54</f>
        <v>81090</v>
      </c>
    </row>
    <row r="55" spans="1:4" x14ac:dyDescent="0.35">
      <c r="A55" t="s">
        <v>47</v>
      </c>
      <c r="D55" s="4">
        <f>C52+C54</f>
        <v>95420</v>
      </c>
    </row>
    <row r="57" spans="1:4" x14ac:dyDescent="0.35">
      <c r="A57" t="s">
        <v>48</v>
      </c>
      <c r="D57" s="11">
        <f>SUM(D49:D55)</f>
        <v>193930</v>
      </c>
    </row>
    <row r="59" spans="1:4" x14ac:dyDescent="0.35">
      <c r="B59" s="10" t="s">
        <v>49</v>
      </c>
    </row>
    <row r="60" spans="1:4" x14ac:dyDescent="0.35">
      <c r="A60" s="10" t="s">
        <v>50</v>
      </c>
    </row>
    <row r="61" spans="1:4" x14ac:dyDescent="0.35">
      <c r="A61" s="10" t="s">
        <v>51</v>
      </c>
    </row>
    <row r="62" spans="1:4" x14ac:dyDescent="0.35">
      <c r="A62" s="2" t="s">
        <v>52</v>
      </c>
      <c r="C62" s="3">
        <f>700+89540</f>
        <v>90240</v>
      </c>
    </row>
    <row r="63" spans="1:4" x14ac:dyDescent="0.35">
      <c r="A63" t="s">
        <v>53</v>
      </c>
      <c r="C63">
        <f>E23</f>
        <v>180</v>
      </c>
    </row>
    <row r="64" spans="1:4" x14ac:dyDescent="0.35">
      <c r="A64" t="s">
        <v>54</v>
      </c>
      <c r="C64">
        <f>D35</f>
        <v>10000</v>
      </c>
    </row>
    <row r="65" spans="1:4" x14ac:dyDescent="0.35">
      <c r="A65" t="s">
        <v>55</v>
      </c>
      <c r="C65">
        <f>E25</f>
        <v>13653</v>
      </c>
    </row>
    <row r="66" spans="1:4" x14ac:dyDescent="0.35">
      <c r="A66" t="s">
        <v>56</v>
      </c>
      <c r="D66" s="4">
        <f>SUM(C62:C65)</f>
        <v>114073</v>
      </c>
    </row>
    <row r="68" spans="1:4" x14ac:dyDescent="0.35">
      <c r="A68" s="10" t="s">
        <v>57</v>
      </c>
    </row>
    <row r="69" spans="1:4" x14ac:dyDescent="0.35">
      <c r="A69" t="s">
        <v>58</v>
      </c>
      <c r="C69" s="3">
        <v>6000</v>
      </c>
    </row>
    <row r="70" spans="1:4" x14ac:dyDescent="0.35">
      <c r="A70" t="s">
        <v>59</v>
      </c>
      <c r="D70" s="4">
        <f>C69</f>
        <v>6000</v>
      </c>
    </row>
    <row r="71" spans="1:4" x14ac:dyDescent="0.35">
      <c r="A71" t="s">
        <v>60</v>
      </c>
      <c r="D71" s="4">
        <f>SUM(D66:D70)</f>
        <v>120073</v>
      </c>
    </row>
    <row r="73" spans="1:4" x14ac:dyDescent="0.35">
      <c r="A73" s="10" t="s">
        <v>61</v>
      </c>
    </row>
    <row r="74" spans="1:4" x14ac:dyDescent="0.35">
      <c r="A74" s="8" t="str">
        <f>B32</f>
        <v>Preferred Stock</v>
      </c>
      <c r="C74" s="4">
        <f>B36</f>
        <v>10000</v>
      </c>
    </row>
    <row r="75" spans="1:4" x14ac:dyDescent="0.35">
      <c r="A75" s="8" t="str">
        <f>C32</f>
        <v>Common Stock</v>
      </c>
      <c r="C75" s="4">
        <f>C36</f>
        <v>38000</v>
      </c>
    </row>
    <row r="76" spans="1:4" x14ac:dyDescent="0.35">
      <c r="A76" s="8" t="str">
        <f>D32</f>
        <v xml:space="preserve">Retained Earnings </v>
      </c>
      <c r="C76" s="4">
        <f>D36</f>
        <v>25857</v>
      </c>
    </row>
    <row r="77" spans="1:4" ht="29" x14ac:dyDescent="0.35">
      <c r="A77" s="8" t="s">
        <v>62</v>
      </c>
      <c r="D77">
        <f>SUM(C74:C76)</f>
        <v>73857</v>
      </c>
    </row>
    <row r="79" spans="1:4" x14ac:dyDescent="0.35">
      <c r="A79" t="s">
        <v>63</v>
      </c>
      <c r="D79" s="11">
        <f>SUM(D71:D77)</f>
        <v>193930</v>
      </c>
    </row>
    <row r="81" spans="4:4" x14ac:dyDescent="0.35">
      <c r="D81" s="4"/>
    </row>
    <row r="82" spans="4:4" x14ac:dyDescent="0.35">
      <c r="D8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fall set 1</vt:lpstr>
      <vt:lpstr>fall set 2</vt:lpstr>
      <vt:lpstr>fall set 3</vt:lpstr>
      <vt:lpstr>fall set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2023-12-06T14:07:56Z</dcterms:created>
  <dcterms:modified xsi:type="dcterms:W3CDTF">2023-12-06T14:08:28Z</dcterms:modified>
</cp:coreProperties>
</file>